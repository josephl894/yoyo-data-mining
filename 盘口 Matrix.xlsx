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f42feb262022e1/YoYo Markets/"/>
    </mc:Choice>
  </mc:AlternateContent>
  <xr:revisionPtr revIDLastSave="1105" documentId="8_{EFB45691-149A-7344-8D7B-9B919AD01208}" xr6:coauthVersionLast="47" xr6:coauthVersionMax="47" xr10:uidLastSave="{2F14AAB1-2E85-FA43-A276-1AD65C12D8FB}"/>
  <bookViews>
    <workbookView xWindow="0" yWindow="660" windowWidth="30240" windowHeight="18980" xr2:uid="{9A81F388-A711-0146-A7A7-A1CF85DF75F2}"/>
  </bookViews>
  <sheets>
    <sheet name="全球" sheetId="1" r:id="rId1"/>
    <sheet name="中国" sheetId="3" r:id="rId2"/>
    <sheet name="日本" sheetId="6" r:id="rId3"/>
    <sheet name="韩国" sheetId="7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9" i="7" l="1" a="1"/>
  <c r="N49" i="7" s="1"/>
  <c r="N40" i="7" a="1"/>
  <c r="N40" i="7" s="1"/>
  <c r="N26" i="7" a="1"/>
  <c r="N26" i="7" s="1"/>
  <c r="N16" i="7" a="1"/>
  <c r="N16" i="7" s="1"/>
  <c r="N7" i="7" a="1"/>
  <c r="N7" i="7" s="1"/>
  <c r="N3" i="7"/>
  <c r="N37" i="6" a="1"/>
  <c r="N37" i="6" s="1"/>
  <c r="N29" i="6" a="1"/>
  <c r="N29" i="6" s="1"/>
  <c r="N16" i="6" a="1"/>
  <c r="N16" i="6" s="1"/>
  <c r="N7" i="6" a="1"/>
  <c r="N7" i="6" s="1"/>
  <c r="N3" i="6"/>
  <c r="N45" i="3" a="1"/>
  <c r="N45" i="3" s="1"/>
  <c r="N35" i="3" a="1"/>
  <c r="N35" i="3" s="1"/>
  <c r="N26" i="3" a="1"/>
  <c r="N26" i="3" s="1"/>
  <c r="N16" i="3" a="1"/>
  <c r="N16" i="3" s="1"/>
  <c r="N7" i="3" a="1"/>
  <c r="N7" i="3" s="1"/>
  <c r="N3" i="3"/>
  <c r="N139" i="1"/>
  <c r="N132" i="1"/>
  <c r="N124" i="1"/>
  <c r="N116" i="1"/>
  <c r="N90" i="1"/>
  <c r="N83" i="1"/>
  <c r="N75" i="1"/>
  <c r="N65" i="1"/>
  <c r="N53" i="1"/>
  <c r="N43" i="1"/>
  <c r="N33" i="1"/>
  <c r="N18" i="1"/>
  <c r="N7" i="1"/>
  <c r="N3" i="1"/>
  <c r="L4" i="7"/>
  <c r="K4" i="7"/>
  <c r="J4" i="7"/>
  <c r="I4" i="7"/>
  <c r="H4" i="7"/>
  <c r="G4" i="7"/>
  <c r="F4" i="7"/>
  <c r="E4" i="7"/>
  <c r="D4" i="7"/>
  <c r="C4" i="7"/>
  <c r="L4" i="6"/>
  <c r="K4" i="6"/>
  <c r="J4" i="6"/>
  <c r="I4" i="6"/>
  <c r="H4" i="6"/>
  <c r="G4" i="6"/>
  <c r="F4" i="6"/>
  <c r="E4" i="6"/>
  <c r="D4" i="6"/>
  <c r="C4" i="6"/>
  <c r="H4" i="3"/>
  <c r="H4" i="1"/>
  <c r="L4" i="3"/>
  <c r="K4" i="3"/>
  <c r="J4" i="3"/>
  <c r="I4" i="3"/>
  <c r="G4" i="3"/>
  <c r="F4" i="3"/>
  <c r="E4" i="3"/>
  <c r="D4" i="3"/>
  <c r="C4" i="3"/>
  <c r="L4" i="1"/>
  <c r="K4" i="1"/>
  <c r="J4" i="1"/>
  <c r="I4" i="1"/>
  <c r="G4" i="1"/>
  <c r="F4" i="1"/>
  <c r="E4" i="1"/>
  <c r="D4" i="1"/>
  <c r="C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<sst xmlns="http://schemas.openxmlformats.org/spreadsheetml/2006/main" count="332" uniqueCount="177">
  <si>
    <r>
      <t>盘口主题</t>
    </r>
    <r>
      <rPr>
        <sz val="12"/>
        <color theme="1"/>
        <rFont val="Aptos Narrow"/>
        <family val="2"/>
        <scheme val="minor"/>
      </rPr>
      <t>：哪支国家队会赢得 2026 年世界杯冠军？</t>
    </r>
  </si>
  <si>
    <t>若因纪律处罚、兴奋剂、违规参赛等原因导致冠军被剥夺或更改，以 FIFA 或 Court of Arbitration for Sport 的最终官方判定为准。</t>
  </si>
  <si>
    <t>冠军队伍如果不在候选名单中，统一计入“其他”。</t>
  </si>
  <si>
    <t>延期/取消处理：若赛事取消，盘口作废。</t>
  </si>
  <si>
    <t>争议事件处理：若冠军归属发生争议，取第一次具备法律效力的官方公告为准，不追溯二次变更。</t>
  </si>
  <si>
    <t>评估量化指标</t>
  </si>
  <si>
    <r>
      <t>盘口主题</t>
    </r>
    <r>
      <rPr>
        <sz val="12"/>
        <color theme="1"/>
        <rFont val="Aptos Narrow"/>
        <family val="2"/>
        <scheme val="minor"/>
      </rPr>
      <t>：2026 世界杯金靴奖将来自哪个国家队？</t>
    </r>
  </si>
  <si>
    <r>
      <t>规则</t>
    </r>
    <r>
      <rPr>
        <sz val="12"/>
        <color theme="1"/>
        <rFont val="Aptos Narrow"/>
        <family val="2"/>
        <scheme val="minor"/>
      </rPr>
      <t>：</t>
    </r>
  </si>
  <si>
    <t>并列裁定优先采用 FIFA 官方最终公示。</t>
  </si>
  <si>
    <t>延期/取消：赛事取消则盘口作废。</t>
  </si>
  <si>
    <r>
      <t>结果选项</t>
    </r>
    <r>
      <rPr>
        <sz val="12"/>
        <color theme="1"/>
        <rFont val="Aptos Narrow"/>
        <family val="2"/>
        <scheme val="minor"/>
      </rPr>
      <t>：阿根廷、巴西、法国、英格兰、荷兰、其他（可按情况增减）</t>
    </r>
  </si>
  <si>
    <r>
      <t>结果选项</t>
    </r>
    <r>
      <rPr>
        <sz val="12"/>
        <color theme="1"/>
        <rFont val="Aptos Narrow"/>
        <family val="2"/>
        <scheme val="minor"/>
      </rPr>
      <t>：阿根廷、巴西、法国、葡萄牙、英格兰、其他</t>
    </r>
    <r>
      <rPr>
        <sz val="12"/>
        <color theme="1"/>
        <rFont val="Aptos Narrow"/>
        <scheme val="minor"/>
      </rPr>
      <t>（可按情况增减）</t>
    </r>
  </si>
  <si>
    <t>以 FIFA 官方在决赛结束后首次公布的冠军队伍公告为唯一结算依据。</t>
  </si>
  <si>
    <t>以 FIFA 官方“Golden Boot”获奖球员的所属国家队为唯一结算依据。</t>
  </si>
  <si>
    <t>若赛事在 2026 年 12 月 31 日前无法完成，或冠军未公布，本盘口将作废。</t>
  </si>
  <si>
    <t>金靴奖得主如果不在候选名单中，统一计入“其他”。</t>
  </si>
  <si>
    <t>若在 2026 年 12 月 31 日前奖项未颁发或被FIFA 官方最终声明撤销，盘口作废。</t>
  </si>
  <si>
    <t>若出现进球数相同的情况，结算将依据 FIFA 官方金靴奖归属：</t>
  </si>
  <si>
    <t>• 若 FIFA 通过助攻或上场时间判定唯一获奖者，本盘口按该球员所属国家队结算；</t>
  </si>
  <si>
    <t>• 若 FIFA 宣布并列金靴奖（Co-Winners），且并列球员来自多个国家，则按 FIFA 官方公示的所有获奖国家均视为正确结果；</t>
  </si>
  <si>
    <t>• 若并列球员来自同一国家，仅按该国家结算；</t>
  </si>
  <si>
    <t>• 若赛事取消或金靴奖未颁发，本盘口作废。</t>
  </si>
  <si>
    <t>若进球经 VAR 判定无效，不计入。</t>
  </si>
  <si>
    <t>若 C罗未被列入葡萄牙名单或未出场，则自动按“0”结算。</t>
  </si>
  <si>
    <t>若赛事取消或未完成，盘口作废。</t>
  </si>
  <si>
    <r>
      <t>结果选项</t>
    </r>
    <r>
      <rPr>
        <sz val="12"/>
        <color theme="1"/>
        <rFont val="Aptos Narrow"/>
        <family val="2"/>
        <scheme val="minor"/>
      </rPr>
      <t>：0、1–2、3–4、5+</t>
    </r>
  </si>
  <si>
    <t>进球统计包含小组赛与淘汰赛的常规时间、补时及加时进球，不包括点球大战。</t>
  </si>
  <si>
    <r>
      <t>盘口主题：</t>
    </r>
    <r>
      <rPr>
        <sz val="12"/>
        <color theme="1"/>
        <rFont val="Aptos Narrow"/>
        <scheme val="minor"/>
      </rPr>
      <t xml:space="preserve">Christiano Ronaldo </t>
    </r>
    <r>
      <rPr>
        <sz val="12"/>
        <color theme="1"/>
        <rFont val="Aptos Narrow"/>
        <family val="2"/>
        <scheme val="minor"/>
      </rPr>
      <t>在 2026 世界杯的总进球数（不含点球大战）</t>
    </r>
  </si>
  <si>
    <t>以 FIFA 官方比赛报告与技术统计为唯一依据。</t>
  </si>
  <si>
    <r>
      <t>盘口主题：</t>
    </r>
    <r>
      <rPr>
        <sz val="12"/>
        <color theme="1"/>
        <rFont val="Aptos Narrow"/>
        <scheme val="minor"/>
      </rPr>
      <t xml:space="preserve">Kylian Mbappé </t>
    </r>
    <r>
      <rPr>
        <sz val="12"/>
        <color theme="1"/>
        <rFont val="Aptos Narrow"/>
        <family val="2"/>
        <scheme val="minor"/>
      </rPr>
      <t>在 2026 世界杯的总进球数（不含点球大战）</t>
    </r>
  </si>
  <si>
    <t>若姆巴佩未被列入法国名单或未出场，则自动按“0”结算。</t>
  </si>
  <si>
    <r>
      <t>盘口主题</t>
    </r>
    <r>
      <rPr>
        <sz val="12"/>
        <color theme="1"/>
        <rFont val="Aptos Narrow"/>
        <family val="2"/>
        <scheme val="minor"/>
      </rPr>
      <t>：揭幕战总进球数（90+补时，不含点球大战）</t>
    </r>
  </si>
  <si>
    <r>
      <t>预计结束时间</t>
    </r>
    <r>
      <rPr>
        <sz val="12"/>
        <color theme="1"/>
        <rFont val="Aptos Narrow"/>
        <family val="2"/>
        <scheme val="minor"/>
      </rPr>
      <t>：揭幕战当日</t>
    </r>
  </si>
  <si>
    <t>以揭幕战（首场比赛）的 FIFA 官方比赛报告为唯一依据。</t>
  </si>
  <si>
    <t>若揭幕战延期，以实际首场比赛为准。</t>
  </si>
  <si>
    <t>若揭幕战因不可抗力取消，本盘口作废。</t>
  </si>
  <si>
    <r>
      <t>结果选项</t>
    </r>
    <r>
      <rPr>
        <sz val="12"/>
        <color theme="1"/>
        <rFont val="Aptos Narrow"/>
        <family val="2"/>
        <scheme val="minor"/>
      </rPr>
      <t>：0、1、2、3、4+</t>
    </r>
  </si>
  <si>
    <r>
      <t>盘口主题</t>
    </r>
    <r>
      <rPr>
        <sz val="12"/>
        <color theme="1"/>
        <rFont val="Aptos Narrow"/>
        <family val="2"/>
        <scheme val="minor"/>
      </rPr>
      <t>：决赛总进球数（90+补时，不含点球大战）</t>
    </r>
  </si>
  <si>
    <r>
      <t>预计结束时间</t>
    </r>
    <r>
      <rPr>
        <sz val="12"/>
        <color theme="1"/>
        <rFont val="Aptos Narrow"/>
        <family val="2"/>
        <scheme val="minor"/>
      </rPr>
      <t>：决赛当日</t>
    </r>
  </si>
  <si>
    <t>以世界杯决赛的 FIFA 官方比赛报告为唯一依据。</t>
  </si>
  <si>
    <t>若决赛因不可抗力取消，本盘口作废。</t>
  </si>
  <si>
    <r>
      <t>结果选项</t>
    </r>
    <r>
      <rPr>
        <sz val="12"/>
        <color theme="1"/>
        <rFont val="Aptos Narrow"/>
        <family val="2"/>
        <scheme val="minor"/>
      </rPr>
      <t>：Yes / No</t>
    </r>
  </si>
  <si>
    <t>若冠军来自五队之外，则结算“YES”；否则“NO”。</t>
  </si>
  <si>
    <r>
      <t>盘口主题</t>
    </r>
    <r>
      <rPr>
        <sz val="12"/>
        <color theme="1"/>
        <rFont val="Aptos Narrow"/>
        <family val="2"/>
        <scheme val="minor"/>
      </rPr>
      <t>：2026 世界杯冠军是否来自非“五大热门”（阿根廷、法国、巴西、英格兰、荷兰）？（具体五大可视情况更改）</t>
    </r>
  </si>
  <si>
    <t>2026 冬奥会主题</t>
  </si>
  <si>
    <t>2026 世界杯主题</t>
  </si>
  <si>
    <r>
      <t>盘口主题</t>
    </r>
    <r>
      <rPr>
        <sz val="12"/>
        <color theme="1"/>
        <rFont val="Aptos Narrow"/>
        <family val="2"/>
        <scheme val="minor"/>
      </rPr>
      <t>：哪个国家/地区将在 2026 冬奥会金牌榜上排名第一？</t>
    </r>
  </si>
  <si>
    <t>以 International Olympic Committee（IOC）公布的 官方金牌榜排名 为唯一依据。</t>
  </si>
  <si>
    <t>并列以 IOC 公布的排序为准。</t>
  </si>
  <si>
    <t>若赛事取消或无最终结果，则作废。</t>
  </si>
  <si>
    <r>
      <t>结果选项</t>
    </r>
    <r>
      <rPr>
        <sz val="12"/>
        <color theme="1"/>
        <rFont val="Aptos Narrow"/>
        <family val="2"/>
        <scheme val="minor"/>
      </rPr>
      <t>：美国、挪威、中国、德国、其他</t>
    </r>
  </si>
  <si>
    <r>
      <t>盘口主题</t>
    </r>
    <r>
      <rPr>
        <sz val="12"/>
        <color theme="1"/>
        <rFont val="Aptos Narrow"/>
        <family val="2"/>
        <scheme val="minor"/>
      </rPr>
      <t>：意大利是否在奖牌榜总数进入前 5？</t>
    </r>
  </si>
  <si>
    <t>以 IOC 官方奖牌榜总牌排名为准，若意大利位列前 5 则 Yes，否则 No。</t>
  </si>
  <si>
    <t>并列按 IOC 公布顺序为准。</t>
  </si>
  <si>
    <r>
      <t>盘口主题</t>
    </r>
    <r>
      <rPr>
        <sz val="12"/>
        <color theme="1"/>
        <rFont val="Aptos Narrow"/>
        <family val="2"/>
        <scheme val="minor"/>
      </rPr>
      <t>：2026 冬奥会是否会出现单一国家打破历史金牌纪录（16 枚+）？</t>
    </r>
  </si>
  <si>
    <t>以 IOC 官方奖牌榜金牌数为准，若任何国家在 2026 冬奥会上获得 ≥17 枚金牌，则“YES”，若最高金牌数 ≤16，则“No”。</t>
  </si>
  <si>
    <r>
      <t>盘口主题</t>
    </r>
    <r>
      <rPr>
        <sz val="12"/>
        <color theme="1"/>
        <rFont val="Aptos Narrow"/>
        <family val="2"/>
        <scheme val="minor"/>
      </rPr>
      <t>：是否有热带/赤道国家获得奖牌？</t>
    </r>
  </si>
  <si>
    <t>热带/赤道国家定义：国家至少 50% 领土位于热带或赤道（含东南亚、部分中南美、非洲）。</t>
  </si>
  <si>
    <t>若按以上定义，有任一热带/赤道国家获得奖牌，则 Yes。</t>
  </si>
  <si>
    <r>
      <t>盘口主题</t>
    </r>
    <r>
      <rPr>
        <sz val="12"/>
        <color theme="1"/>
        <rFont val="Aptos Narrow"/>
        <family val="2"/>
        <scheme val="minor"/>
      </rPr>
      <t>：中国代表团是否在 2026 冬奥会金牌榜上排名前三</t>
    </r>
  </si>
  <si>
    <t>以 IOC 奖牌榜金牌数排名为唯一结算依据。</t>
  </si>
  <si>
    <t>若中国排名 1~3，则 “Yes”，否则 “No”。</t>
  </si>
  <si>
    <t>若出现金牌数并列，以 IOC 公布的 tie-break 顺序（通常为银牌数、铜牌数）为准。</t>
  </si>
  <si>
    <t>若赛事取消或榜单未发布，盘口作废。</t>
  </si>
  <si>
    <r>
      <t>盘口主题</t>
    </r>
    <r>
      <rPr>
        <sz val="12"/>
        <color theme="1"/>
        <rFont val="Aptos Narrow"/>
        <family val="2"/>
        <scheme val="minor"/>
      </rPr>
      <t>：中国代表团在 2026 冬奥会短道速滑项目获得的金牌总数</t>
    </r>
  </si>
  <si>
    <t>统计范围为 International Skating Union（ISU） 管理的所有短道速滑（Short Track Speed Skating）小项。</t>
  </si>
  <si>
    <t>以 International Olympic Committee（IOC） 奖牌榜最终结果为唯一结算依据。</t>
  </si>
  <si>
    <t>并列金牌计入总数，不影响区间结算。</t>
  </si>
  <si>
    <t>若因兴奋剂或申诉在 72 小时内发生官方变更，则按最终公告调整；超过窗口不追溯。</t>
  </si>
  <si>
    <t>若赛事或项目取消，盘口作废。</t>
  </si>
  <si>
    <r>
      <t>结果选项</t>
    </r>
    <r>
      <rPr>
        <sz val="12"/>
        <color theme="1"/>
        <rFont val="Aptos Narrow"/>
        <family val="2"/>
        <scheme val="minor"/>
      </rPr>
      <t>：0–2、3–5、6+</t>
    </r>
  </si>
  <si>
    <r>
      <t>盘口主题</t>
    </r>
    <r>
      <rPr>
        <sz val="12"/>
        <color theme="1"/>
        <rFont val="Aptos Narrow"/>
        <family val="2"/>
        <scheme val="minor"/>
      </rPr>
      <t>：谷爱凌是否在 2026 冬奥会获得至少 2 枚奖牌（任意颜色）</t>
    </r>
  </si>
  <si>
    <t>以 IOC 官方运动员奖牌统计为唯一依据。</t>
  </si>
  <si>
    <t>若谷爱凌总奖牌数 ≥ 2，结算为 “Yes”；否则 “No”。</t>
  </si>
  <si>
    <t>若未参赛或赛事取消，盘口作废。</t>
  </si>
  <si>
    <t>若兴奋剂/申诉导致奖牌变动，仅在 72 小时窗口内追溯。</t>
  </si>
  <si>
    <t>统计范围为 Su Yiming 在 Big Air 项目预赛与决赛中所有尝试的有效跳跃动作。</t>
  </si>
  <si>
    <t>旋转度数的官方认定以 FIS 技术裁判结果为唯一依据，不接受媒体或观众角度。</t>
  </si>
  <si>
    <t>若 Su Yiming 未参赛或未尝试该动作，按 “No” 结算。</t>
  </si>
  <si>
    <t>若项目取消或未完成，盘口作废。</t>
  </si>
  <si>
    <t>若官方技术评分记录显示，他至少在一次跳跃中完成了 1980° 或以上旋转，并判定动作「成功落地」并计分（score ≠ 0），则结算为 “Yes”；否则 “No”。</t>
  </si>
  <si>
    <r>
      <rPr>
        <b/>
        <sz val="12"/>
        <color theme="1"/>
        <rFont val="Aptos Narrow"/>
        <scheme val="minor"/>
      </rPr>
      <t>盘口主题：</t>
    </r>
    <r>
      <rPr>
        <sz val="12"/>
        <color theme="1"/>
        <rFont val="Aptos Narrow"/>
        <family val="2"/>
        <scheme val="minor"/>
      </rPr>
      <t>Su Yiming 是否在 2026 冬奥会 Big Air 项目中成功完成 1980°（含）或以上的动作</t>
    </r>
  </si>
  <si>
    <r>
      <t>盘口主题</t>
    </r>
    <r>
      <rPr>
        <sz val="12"/>
        <color theme="1"/>
        <rFont val="Aptos Narrow"/>
        <family val="2"/>
        <scheme val="minor"/>
      </rPr>
      <t>：中国代表团是否在 2026 冬奥会中至少打破 1 项奥运会纪录（Olympic Record）</t>
    </r>
  </si>
  <si>
    <t>奥运会纪录定义以 IOC 与各单项联合会（ISU、FIS 等）发布为准。</t>
  </si>
  <si>
    <t>若至少有一项官方纪录更新由中国选手创造，则 “Yes”；否则 “No”。</t>
  </si>
  <si>
    <t>若赛事取消则作废。</t>
  </si>
  <si>
    <r>
      <t>盘口主题</t>
    </r>
    <r>
      <rPr>
        <sz val="12"/>
        <color theme="1"/>
        <rFont val="Aptos Narrow"/>
        <family val="2"/>
        <scheme val="minor"/>
      </rPr>
      <t>：日本国家男子足球队是否打入 2026 世界杯 1/4 决赛（Quarterfinals）</t>
    </r>
  </si>
  <si>
    <t>若日本进入 Quarterfinals，则 “Yes”；否则 “No”。</t>
  </si>
  <si>
    <t>以 FIFA 官方赛程结果为唯一依据。</t>
  </si>
  <si>
    <t>未参赛视为 “No”。</t>
  </si>
  <si>
    <t>若赛事取消，盘口作废。</t>
  </si>
  <si>
    <r>
      <t>盘口主题</t>
    </r>
    <r>
      <rPr>
        <sz val="12"/>
        <color theme="1"/>
        <rFont val="Aptos Narrow"/>
        <family val="2"/>
        <scheme val="minor"/>
      </rPr>
      <t>：日本球员在 2026 世界杯的总进球数（不含点球大战）</t>
    </r>
  </si>
  <si>
    <t>统计日本队所有进球（常规+补时+加时，不含点球大战）。</t>
  </si>
  <si>
    <t>VAR 否决进球不计入。</t>
  </si>
  <si>
    <t>若未参赛，自动按 0–2 档结算。</t>
  </si>
  <si>
    <r>
      <t>盘口主题</t>
    </r>
    <r>
      <rPr>
        <sz val="12"/>
        <color theme="1"/>
        <rFont val="Aptos Narrow"/>
        <family val="2"/>
        <scheme val="minor"/>
      </rPr>
      <t>：日本代表团是否在男子花样滑冰单人滑项目中获得金牌</t>
    </r>
  </si>
  <si>
    <t>若金牌归属日本，则 “Yes”；否则 “No”。</t>
  </si>
  <si>
    <t>若赛事取消或项目未举办，盘口作废。</t>
  </si>
  <si>
    <t>规则：</t>
  </si>
  <si>
    <r>
      <t>盘口主题</t>
    </r>
    <r>
      <rPr>
        <sz val="12"/>
        <color theme="1"/>
        <rFont val="Aptos Narrow"/>
        <family val="2"/>
        <scheme val="minor"/>
      </rPr>
      <t>：日本代表团在跳台滑雪项目获得的奖牌总数（任意颜色）</t>
    </r>
  </si>
  <si>
    <t>统计所有跳台滑雪小项奖牌数。</t>
  </si>
  <si>
    <t>并列金牌/银牌照常计数。</t>
  </si>
  <si>
    <r>
      <t>结果选项</t>
    </r>
    <r>
      <rPr>
        <sz val="12"/>
        <color theme="1"/>
        <rFont val="Aptos Narrow"/>
        <family val="2"/>
        <scheme val="minor"/>
      </rPr>
      <t>：0、1、2+</t>
    </r>
  </si>
  <si>
    <r>
      <t>盘口主题</t>
    </r>
    <r>
      <rPr>
        <sz val="12"/>
        <color theme="1"/>
        <rFont val="Aptos Narrow"/>
        <family val="2"/>
        <scheme val="minor"/>
      </rPr>
      <t>：韩国国家男子足球队是否晋级世界杯淘汰赛阶段</t>
    </r>
  </si>
  <si>
    <t>若韩国晋级 Round of 32/16（按赛制），结算 “Yes”；否则 “No”。</t>
  </si>
  <si>
    <t>未参赛或赛事取消作废。</t>
  </si>
  <si>
    <r>
      <t>盘口主题</t>
    </r>
    <r>
      <rPr>
        <sz val="12"/>
        <color theme="1"/>
        <rFont val="Aptos Narrow"/>
        <family val="2"/>
        <scheme val="minor"/>
      </rPr>
      <t>：孙兴慜在 2026 世界杯的总进球数是否 ≥2（不含点球大战）</t>
    </r>
  </si>
  <si>
    <t>进球统计包含常规时间+加时，不含点球大战。</t>
  </si>
  <si>
    <t>未参赛自动 “No”。</t>
  </si>
  <si>
    <r>
      <t>盘口主题</t>
    </r>
    <r>
      <rPr>
        <sz val="12"/>
        <color theme="1"/>
        <rFont val="Aptos Narrow"/>
        <family val="2"/>
        <scheme val="minor"/>
      </rPr>
      <t>：韩国代表团在 2026 冬奥会短道速滑项目获得的金牌总数</t>
    </r>
  </si>
  <si>
    <t>统计 ISU 所有短道速滑项目金牌数。</t>
  </si>
  <si>
    <t>并列金牌计数正常。</t>
  </si>
  <si>
    <r>
      <t>结果选项</t>
    </r>
    <r>
      <rPr>
        <sz val="12"/>
        <color theme="1"/>
        <rFont val="Aptos Narrow"/>
        <family val="2"/>
        <scheme val="minor"/>
      </rPr>
      <t>：0–1、2–3、4+</t>
    </r>
  </si>
  <si>
    <r>
      <t>盘口主题</t>
    </r>
    <r>
      <rPr>
        <sz val="12"/>
        <color theme="1"/>
        <rFont val="Aptos Narrow"/>
        <family val="2"/>
        <scheme val="minor"/>
      </rPr>
      <t>：韩国代表团在 2026 冬奥会奖牌总数区间（任意颜色）</t>
    </r>
  </si>
  <si>
    <t>以 IOC 奖牌榜韩国总牌数为依据。</t>
  </si>
  <si>
    <t>并列不影响结果。</t>
  </si>
  <si>
    <t>以 IOC 官方结果为唯一依据。</t>
  </si>
  <si>
    <t>以 IOC 奖牌榜为依据。</t>
  </si>
  <si>
    <t>以 IOC 官方数据为结算依据。</t>
  </si>
  <si>
    <r>
      <t>结果选项</t>
    </r>
    <r>
      <rPr>
        <sz val="12"/>
        <color theme="1"/>
        <rFont val="Aptos Narrow"/>
        <family val="2"/>
        <scheme val="minor"/>
      </rPr>
      <t>：0–3、4–6、7+</t>
    </r>
  </si>
  <si>
    <r>
      <t>预计结束时间</t>
    </r>
    <r>
      <rPr>
        <sz val="12"/>
        <color theme="1"/>
        <rFont val="Aptos Narrow"/>
        <family val="2"/>
        <scheme val="minor"/>
      </rPr>
      <t>：2026-07-20</t>
    </r>
  </si>
  <si>
    <r>
      <t>预计结束时间</t>
    </r>
    <r>
      <rPr>
        <sz val="12"/>
        <color theme="1"/>
        <rFont val="Aptos Narrow"/>
        <family val="2"/>
        <scheme val="minor"/>
      </rPr>
      <t>：2026-07-25</t>
    </r>
  </si>
  <si>
    <r>
      <t>预计结束时间</t>
    </r>
    <r>
      <rPr>
        <sz val="12"/>
        <color theme="1"/>
        <rFont val="Aptos Narrow"/>
        <family val="2"/>
        <scheme val="minor"/>
      </rPr>
      <t>：2026-02-26</t>
    </r>
  </si>
  <si>
    <t>热度/传播度</t>
  </si>
  <si>
    <t>文化契合度</t>
  </si>
  <si>
    <t>结果无争议度</t>
  </si>
  <si>
    <t>话题对抗性</t>
  </si>
  <si>
    <t>事件发生周期</t>
  </si>
  <si>
    <t>模板可标准化程度</t>
  </si>
  <si>
    <t>潜在用户流动性深度</t>
  </si>
  <si>
    <t>结果波动空间/用户重复交易度</t>
  </si>
  <si>
    <t>信息获取难易度</t>
  </si>
  <si>
    <t>1-5 scale</t>
  </si>
  <si>
    <t>mining from polymarket</t>
  </si>
  <si>
    <t>作死度</t>
  </si>
  <si>
    <t>0 or 1 一票否决</t>
  </si>
  <si>
    <t>历史渊源</t>
  </si>
  <si>
    <r>
      <t xml:space="preserve">统计范围为两位球员在世界杯 </t>
    </r>
    <r>
      <rPr>
        <b/>
        <sz val="12"/>
        <color theme="1"/>
        <rFont val="Aptos Narrow"/>
        <family val="2"/>
        <scheme val="minor"/>
      </rPr>
      <t>小组赛阶段</t>
    </r>
    <r>
      <rPr>
        <sz val="12"/>
        <color theme="1"/>
        <rFont val="Aptos Narrow"/>
        <family val="2"/>
        <scheme val="minor"/>
      </rPr>
      <t xml:space="preserve"> 的所有进球，包括常规时间、补时和加时。</t>
    </r>
  </si>
  <si>
    <t>不计入点球大战进球。</t>
  </si>
  <si>
    <t>VAR 判定无效的进球不计。</t>
  </si>
  <si>
    <t>若一方未入选名单或未出场，自动计 0 球。</t>
  </si>
  <si>
    <t>若两人进球数相同，结算为“平局（Tie）”。</t>
  </si>
  <si>
    <t>以 FIFA 官方比赛技术报告和进球统计为唯一结算依据。</t>
  </si>
  <si>
    <t>若赛事取消或小组赛未完成，盘口作废。</t>
  </si>
  <si>
    <r>
      <t>结果选项</t>
    </r>
    <r>
      <rPr>
        <sz val="12"/>
        <color theme="1"/>
        <rFont val="Aptos Narrow"/>
        <family val="2"/>
        <scheme val="minor"/>
      </rPr>
      <t>：</t>
    </r>
    <r>
      <rPr>
        <sz val="12"/>
        <color theme="1"/>
        <rFont val="Aptos Narrow"/>
        <scheme val="minor"/>
      </rPr>
      <t>Kylian Mbappé、Erling Haaland、平局（Tie）</t>
    </r>
  </si>
  <si>
    <r>
      <t>预计结束时间</t>
    </r>
    <r>
      <rPr>
        <sz val="12"/>
        <color theme="1"/>
        <rFont val="Aptos Narrow"/>
        <family val="2"/>
        <scheme val="minor"/>
      </rPr>
      <t>：2026-06-30（小组赛结束后 72 小时内）</t>
    </r>
  </si>
  <si>
    <r>
      <rPr>
        <b/>
        <sz val="12"/>
        <color theme="1"/>
        <rFont val="Aptos Narrow"/>
        <scheme val="minor"/>
      </rPr>
      <t>盘口主题：</t>
    </r>
    <r>
      <rPr>
        <sz val="12"/>
        <color theme="1"/>
        <rFont val="Aptos Narrow"/>
        <family val="2"/>
        <scheme val="minor"/>
      </rPr>
      <t>谁将在 FIFA World Cup 2026 小组赛阶段打进更多进球？</t>
    </r>
  </si>
  <si>
    <t>统计两位球员在整个世界杯赛事（含小组赛和淘汰赛）的进球顺序。</t>
  </si>
  <si>
    <t>第一位在正式比赛（常规时间、补时或加时）中打进有效进球的球员视为“先进球”。</t>
  </si>
  <si>
    <t>若两人同时在同一天进球，比较 FIFA 官方进球时间（分钟数）；时间更早者获胜。</t>
  </si>
  <si>
    <t>若一人未进球，另一人进球，则另一人胜。</t>
  </si>
  <si>
    <t>若两人都未进球，结算为“无人进球”。</t>
  </si>
  <si>
    <r>
      <rPr>
        <b/>
        <sz val="12"/>
        <color theme="1"/>
        <rFont val="Aptos Narrow"/>
        <scheme val="minor"/>
      </rPr>
      <t>盘口主题：</t>
    </r>
    <r>
      <rPr>
        <sz val="12"/>
        <color theme="1"/>
        <rFont val="Aptos Narrow"/>
        <family val="2"/>
        <scheme val="minor"/>
      </rPr>
      <t>谁会在 FIFA World Cup 2026 上首先取得进球？</t>
    </r>
  </si>
  <si>
    <r>
      <t>预计结束时间</t>
    </r>
    <r>
      <rPr>
        <sz val="12"/>
        <color theme="1"/>
        <rFont val="Aptos Narrow"/>
        <family val="2"/>
        <scheme val="minor"/>
      </rPr>
      <t>：2026-07-20（赛事期间滚动结算）</t>
    </r>
  </si>
  <si>
    <r>
      <t>结果选项</t>
    </r>
    <r>
      <rPr>
        <sz val="12"/>
        <color theme="1"/>
        <rFont val="Aptos Narrow"/>
        <family val="2"/>
        <scheme val="minor"/>
      </rPr>
      <t>：</t>
    </r>
    <r>
      <rPr>
        <sz val="12"/>
        <color theme="1"/>
        <rFont val="Aptos Narrow"/>
        <scheme val="minor"/>
      </rPr>
      <t>Mbappé、Haaland、二人均无进球或同时进球</t>
    </r>
  </si>
  <si>
    <t>统计范围为两名球员在整个世界杯赛事的所有进球，包括常规时间、补时、加时。</t>
  </si>
  <si>
    <t>VAR 否决进球不计。</t>
  </si>
  <si>
    <t>若进球数相同，结算为“平局（Tie）”。</t>
  </si>
  <si>
    <t>以 FIFA 官方比赛报告为唯一结算依据。</t>
  </si>
  <si>
    <r>
      <rPr>
        <b/>
        <sz val="12"/>
        <color theme="1"/>
        <rFont val="Aptos Narrow"/>
        <scheme val="minor"/>
      </rPr>
      <t>盘口主题：</t>
    </r>
    <r>
      <rPr>
        <sz val="12"/>
        <color theme="1"/>
        <rFont val="Aptos Narrow"/>
        <family val="2"/>
        <scheme val="minor"/>
      </rPr>
      <t>在 FIFA World Cup 2026 上，谁的总进球数更多？</t>
    </r>
  </si>
  <si>
    <r>
      <t>预计结束时间</t>
    </r>
    <r>
      <rPr>
        <sz val="12"/>
        <color theme="1"/>
        <rFont val="Aptos Narrow"/>
        <family val="2"/>
        <scheme val="minor"/>
      </rPr>
      <t>：2026-07-20（赛事结束后 72 小时内）</t>
    </r>
  </si>
  <si>
    <r>
      <t>结果选项</t>
    </r>
    <r>
      <rPr>
        <sz val="12"/>
        <color theme="1"/>
        <rFont val="Aptos Narrow"/>
        <family val="2"/>
        <scheme val="minor"/>
      </rPr>
      <t>：Son Heung-min、Lee Kang-in、平局（Tie）</t>
    </r>
  </si>
  <si>
    <t>若赛事取消或韩国队未参赛，盘口作废。</t>
  </si>
  <si>
    <t>&gt;=4.5</t>
  </si>
  <si>
    <t>&lt;4.5 &amp; &gt;=4</t>
  </si>
  <si>
    <t>&lt;4 &amp; &gt;=3.5</t>
  </si>
  <si>
    <t>&lt;3.5</t>
  </si>
  <si>
    <t>爆款</t>
  </si>
  <si>
    <t>核心款</t>
  </si>
  <si>
    <t>次要款</t>
  </si>
  <si>
    <t>冷门/不上线</t>
  </si>
  <si>
    <r>
      <t>盘口主题</t>
    </r>
    <r>
      <rPr>
        <sz val="12"/>
        <color theme="1"/>
        <rFont val="Aptos Narrow"/>
        <family val="2"/>
        <scheme val="minor"/>
      </rPr>
      <t>：意大利国家男子足球队是否通过附加赛晋级 2026 世界杯决赛圈（Playoff Qualification）</t>
    </r>
  </si>
  <si>
    <t>若 意大利国家足球队 通过附加赛（UEFA Qualifying Play-offs）晋级 2026 年国际足联世界杯 决赛圈（Finals），则结算为 “Yes”；否则为 “No”。</t>
  </si>
  <si>
    <t>以 FIFA 与 UEFA 官方公布的晋级结果为唯一结算依据。</t>
  </si>
  <si>
    <t>若附加赛因不可抗力取消，或意大利放弃参赛，盘口作废。</t>
  </si>
  <si>
    <t>若出现申诉或裁定变动，以第一次具备法律效力的官方公告为准，不追溯二次变更。</t>
  </si>
  <si>
    <r>
      <t>预计结束时间（UTC）</t>
    </r>
    <r>
      <rPr>
        <sz val="12"/>
        <color theme="1"/>
        <rFont val="Aptos Narrow"/>
        <family val="2"/>
        <scheme val="minor"/>
      </rPr>
      <t>：2026-03-31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</si>
</sst>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5"/>
      <color rgb="FF1D1C1D"/>
      <name val="Arial"/>
      <family val="2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0" applyFont="1"/>
    <xf numFmtId="0" fontId="3" fillId="0" borderId="0" xfId="0" applyFont="1"/>
    <xf numFmtId="0" fontId="5" fillId="0" borderId="0" xfId="0" applyFont="1"/>
    <xf numFmtId="0" fontId="3" fillId="0" borderId="0" xfId="0" applyFont="1" applyFill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0" fillId="0" borderId="0" xfId="0" applyNumberFormat="1" applyAlignment="1">
      <alignment horizontal="center" vertical="center"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C71AA-24C0-8C45-9DEC-2A569B379795}">
  <dimension ref="B1:P151"/>
  <sheetViews>
    <sheetView showGridLines="0" tabSelected="1" workbookViewId="0">
      <pane xSplit="2" ySplit="4" topLeftCell="C96" activePane="bottomRight" state="frozen"/>
      <selection pane="topRight" activeCell="C1" sqref="C1"/>
      <selection pane="bottomLeft" activeCell="A5" sqref="A5"/>
      <selection pane="bottomRight" activeCell="A105" sqref="A105:XFD105"/>
    </sheetView>
  </sheetViews>
  <sheetFormatPr baseColWidth="10" defaultRowHeight="16" x14ac:dyDescent="0.2"/>
  <cols>
    <col min="1" max="1" width="3.33203125" customWidth="1"/>
    <col min="2" max="2" width="71.6640625" customWidth="1"/>
    <col min="3" max="3" width="11.83203125" style="8" bestFit="1" customWidth="1"/>
    <col min="4" max="4" width="11.1640625" style="8" bestFit="1" customWidth="1"/>
    <col min="5" max="5" width="13.1640625" style="8" bestFit="1" customWidth="1"/>
    <col min="6" max="6" width="11.1640625" style="8" bestFit="1" customWidth="1"/>
    <col min="7" max="7" width="13.1640625" style="8" bestFit="1" customWidth="1"/>
    <col min="8" max="8" width="10" style="8" bestFit="1" customWidth="1"/>
    <col min="9" max="9" width="13.1640625" style="8" bestFit="1" customWidth="1"/>
    <col min="10" max="11" width="15.1640625" style="8" bestFit="1" customWidth="1"/>
    <col min="12" max="12" width="11.1640625" style="8" bestFit="1" customWidth="1"/>
    <col min="13" max="13" width="12" style="8" bestFit="1" customWidth="1"/>
    <col min="14" max="14" width="10.83203125" style="7"/>
    <col min="16" max="16" width="11.83203125" bestFit="1" customWidth="1"/>
  </cols>
  <sheetData>
    <row r="1" spans="2:14" ht="29" customHeight="1" x14ac:dyDescent="0.2">
      <c r="C1" s="9" t="s">
        <v>5</v>
      </c>
      <c r="D1" s="9"/>
      <c r="E1" s="9"/>
      <c r="F1" s="9"/>
      <c r="G1" s="9"/>
      <c r="H1" s="9"/>
      <c r="I1" s="9"/>
      <c r="J1" s="9"/>
      <c r="K1" s="9"/>
      <c r="L1" s="9"/>
      <c r="M1" s="9"/>
    </row>
    <row r="2" spans="2:14" ht="34" x14ac:dyDescent="0.2">
      <c r="C2" s="10" t="s">
        <v>123</v>
      </c>
      <c r="D2" s="10" t="s">
        <v>124</v>
      </c>
      <c r="E2" s="10" t="s">
        <v>125</v>
      </c>
      <c r="F2" s="10" t="s">
        <v>126</v>
      </c>
      <c r="G2" s="10" t="s">
        <v>127</v>
      </c>
      <c r="H2" s="10" t="s">
        <v>136</v>
      </c>
      <c r="I2" s="10" t="s">
        <v>128</v>
      </c>
      <c r="J2" s="10" t="s">
        <v>129</v>
      </c>
      <c r="K2" s="10" t="s">
        <v>130</v>
      </c>
      <c r="L2" s="10" t="s">
        <v>131</v>
      </c>
      <c r="M2" s="10" t="s">
        <v>134</v>
      </c>
    </row>
    <row r="3" spans="2:14" x14ac:dyDescent="0.2">
      <c r="C3" s="11">
        <v>0.15</v>
      </c>
      <c r="D3" s="11">
        <v>0.1</v>
      </c>
      <c r="E3" s="11">
        <v>0.1</v>
      </c>
      <c r="F3" s="11">
        <v>0.15</v>
      </c>
      <c r="G3" s="11">
        <v>0.05</v>
      </c>
      <c r="H3" s="11">
        <v>0.1</v>
      </c>
      <c r="I3" s="11">
        <v>0.05</v>
      </c>
      <c r="J3" s="11">
        <v>0.1</v>
      </c>
      <c r="K3" s="11">
        <v>0.15</v>
      </c>
      <c r="L3" s="11">
        <v>0.05</v>
      </c>
      <c r="M3" s="11">
        <v>1</v>
      </c>
      <c r="N3" s="13">
        <f>SUM(C3:L3)</f>
        <v>1</v>
      </c>
    </row>
    <row r="4" spans="2:14" ht="34" x14ac:dyDescent="0.2">
      <c r="C4" s="15" t="str">
        <f>"1"&amp;_xlfn.UNICHAR(8594)&amp;"5 热度"&amp;_xlfn.UNICHAR(8593)</f>
        <v>1→5 热度↑</v>
      </c>
      <c r="D4" s="15" t="str">
        <f>"1"&amp;_xlfn.UNICHAR(8594)&amp;"5 契合度"&amp;_xlfn.UNICHAR(8593)</f>
        <v>1→5 契合度↑</v>
      </c>
      <c r="E4" s="15" t="str">
        <f>"1"&amp;_xlfn.UNICHAR(8594)&amp;"5 争议度"&amp;_xlfn.UNICHAR(8595)</f>
        <v>1→5 争议度↓</v>
      </c>
      <c r="F4" s="15" t="str">
        <f>"1"&amp;_xlfn.UNICHAR(8594)&amp;"5 对抗性"&amp;_xlfn.UNICHAR(8593)</f>
        <v>1→5 对抗性↑</v>
      </c>
      <c r="G4" s="15" t="str">
        <f>"1"&amp;_xlfn.UNICHAR(8594)&amp;"5 周期"&amp;_xlfn.UNICHAR(8593)</f>
        <v>1→5 周期↑</v>
      </c>
      <c r="H4" s="15" t="str">
        <f>"1"&amp;_xlfn.UNICHAR(8594)&amp;"5 渊源"&amp;_xlfn.UNICHAR(8593)</f>
        <v>1→5 渊源↑</v>
      </c>
      <c r="I4" s="15" t="str">
        <f>"1"&amp;_xlfn.UNICHAR(8594)&amp;"5 可标准化"&amp;_xlfn.UNICHAR(8593)</f>
        <v>1→5 可标准化↑</v>
      </c>
      <c r="J4" s="15" t="str">
        <f>"1"&amp;_xlfn.UNICHAR(8594)&amp;"5 流动性"&amp;_xlfn.UNICHAR(8593)</f>
        <v>1→5 流动性↑</v>
      </c>
      <c r="K4" s="15" t="str">
        <f>"1"&amp;_xlfn.UNICHAR(8594)&amp;"5 波动性"&amp;_xlfn.UNICHAR(8593)</f>
        <v>1→5 波动性↑</v>
      </c>
      <c r="L4" s="15" t="str">
        <f>"1"&amp;_xlfn.UNICHAR(8594)&amp;"5 容易程度"&amp;_xlfn.UNICHAR(8593)</f>
        <v>1→5 容易程度↑</v>
      </c>
      <c r="M4" s="15" t="s">
        <v>135</v>
      </c>
      <c r="N4" s="13" t="s">
        <v>132</v>
      </c>
    </row>
    <row r="5" spans="2:14" ht="22" x14ac:dyDescent="0.3">
      <c r="B5" s="5" t="s">
        <v>45</v>
      </c>
      <c r="J5" s="8" t="s">
        <v>133</v>
      </c>
    </row>
    <row r="7" spans="2:14" x14ac:dyDescent="0.2">
      <c r="B7" s="1" t="s">
        <v>0</v>
      </c>
      <c r="C7" s="12">
        <v>5</v>
      </c>
      <c r="D7" s="12">
        <v>4</v>
      </c>
      <c r="E7" s="12">
        <v>5</v>
      </c>
      <c r="F7" s="12">
        <v>5</v>
      </c>
      <c r="G7" s="12">
        <v>4</v>
      </c>
      <c r="H7" s="12">
        <v>5</v>
      </c>
      <c r="I7" s="12">
        <v>5</v>
      </c>
      <c r="J7" s="12">
        <v>5</v>
      </c>
      <c r="K7" s="12">
        <v>4</v>
      </c>
      <c r="L7" s="12">
        <v>5</v>
      </c>
      <c r="M7" s="12">
        <v>1</v>
      </c>
      <c r="N7" s="14">
        <f>SUMPRODUCT(C$3:L$3,C7:L7)*M7</f>
        <v>4.7</v>
      </c>
    </row>
    <row r="8" spans="2:14" x14ac:dyDescent="0.2">
      <c r="B8" s="1" t="s">
        <v>120</v>
      </c>
      <c r="C8"/>
      <c r="D8"/>
      <c r="E8"/>
      <c r="F8"/>
      <c r="G8"/>
      <c r="H8"/>
      <c r="I8"/>
      <c r="J8"/>
      <c r="K8"/>
      <c r="L8"/>
      <c r="M8"/>
      <c r="N8" s="16" t="b">
        <v>0</v>
      </c>
    </row>
    <row r="9" spans="2:14" x14ac:dyDescent="0.2">
      <c r="B9" s="1" t="s">
        <v>10</v>
      </c>
      <c r="N9" s="16" t="b">
        <v>0</v>
      </c>
    </row>
    <row r="10" spans="2:14" x14ac:dyDescent="0.2">
      <c r="B10" s="1" t="s">
        <v>7</v>
      </c>
      <c r="N10" s="16" t="b">
        <v>0</v>
      </c>
    </row>
    <row r="11" spans="2:14" x14ac:dyDescent="0.2">
      <c r="B11" s="2" t="s">
        <v>12</v>
      </c>
      <c r="N11" s="16" t="b">
        <v>0</v>
      </c>
    </row>
    <row r="12" spans="2:14" x14ac:dyDescent="0.2">
      <c r="B12" s="2" t="s">
        <v>1</v>
      </c>
      <c r="N12" s="16" t="b">
        <v>0</v>
      </c>
    </row>
    <row r="13" spans="2:14" x14ac:dyDescent="0.2">
      <c r="B13" t="s">
        <v>14</v>
      </c>
      <c r="N13" s="16" t="b">
        <v>0</v>
      </c>
    </row>
    <row r="14" spans="2:14" x14ac:dyDescent="0.2">
      <c r="B14" t="s">
        <v>2</v>
      </c>
    </row>
    <row r="15" spans="2:14" x14ac:dyDescent="0.2">
      <c r="B15" t="s">
        <v>3</v>
      </c>
    </row>
    <row r="16" spans="2:14" x14ac:dyDescent="0.2">
      <c r="B16" t="s">
        <v>4</v>
      </c>
    </row>
    <row r="18" spans="2:14" x14ac:dyDescent="0.2">
      <c r="B18" s="1" t="s">
        <v>6</v>
      </c>
      <c r="C18" s="12">
        <v>5</v>
      </c>
      <c r="D18" s="12">
        <v>4</v>
      </c>
      <c r="E18" s="12">
        <v>5</v>
      </c>
      <c r="F18" s="12">
        <v>5</v>
      </c>
      <c r="G18" s="12">
        <v>4</v>
      </c>
      <c r="H18" s="12">
        <v>5</v>
      </c>
      <c r="I18" s="12">
        <v>5</v>
      </c>
      <c r="J18" s="12">
        <v>5</v>
      </c>
      <c r="K18" s="12">
        <v>5</v>
      </c>
      <c r="L18" s="12">
        <v>5</v>
      </c>
      <c r="M18" s="12">
        <v>1</v>
      </c>
      <c r="N18" s="14">
        <f>SUMPRODUCT(C$3:L$3,C18:L18)*M18</f>
        <v>4.8499999999999996</v>
      </c>
    </row>
    <row r="19" spans="2:14" x14ac:dyDescent="0.2">
      <c r="B19" s="1" t="s">
        <v>121</v>
      </c>
      <c r="C19"/>
      <c r="D19"/>
      <c r="E19"/>
      <c r="F19"/>
      <c r="G19"/>
      <c r="H19"/>
      <c r="I19"/>
      <c r="J19"/>
      <c r="K19"/>
      <c r="L19"/>
      <c r="M19"/>
      <c r="N19" s="16" t="b">
        <v>0</v>
      </c>
    </row>
    <row r="20" spans="2:14" x14ac:dyDescent="0.2">
      <c r="B20" s="1" t="s">
        <v>11</v>
      </c>
      <c r="N20" s="16" t="b">
        <v>0</v>
      </c>
    </row>
    <row r="21" spans="2:14" x14ac:dyDescent="0.2">
      <c r="B21" s="1" t="s">
        <v>7</v>
      </c>
      <c r="N21" s="16" t="b">
        <v>0</v>
      </c>
    </row>
    <row r="22" spans="2:14" x14ac:dyDescent="0.2">
      <c r="B22" s="4" t="s">
        <v>13</v>
      </c>
      <c r="N22" s="16" t="b">
        <v>0</v>
      </c>
    </row>
    <row r="23" spans="2:14" x14ac:dyDescent="0.2">
      <c r="B23" t="s">
        <v>17</v>
      </c>
      <c r="N23" s="16" t="b">
        <v>0</v>
      </c>
    </row>
    <row r="24" spans="2:14" x14ac:dyDescent="0.2">
      <c r="B24" t="s">
        <v>18</v>
      </c>
      <c r="N24" s="16" t="b">
        <v>0</v>
      </c>
    </row>
    <row r="25" spans="2:14" x14ac:dyDescent="0.2">
      <c r="B25" t="s">
        <v>19</v>
      </c>
    </row>
    <row r="26" spans="2:14" x14ac:dyDescent="0.2">
      <c r="B26" t="s">
        <v>20</v>
      </c>
    </row>
    <row r="27" spans="2:14" x14ac:dyDescent="0.2">
      <c r="B27" t="s">
        <v>21</v>
      </c>
    </row>
    <row r="28" spans="2:14" x14ac:dyDescent="0.2">
      <c r="B28" t="s">
        <v>16</v>
      </c>
    </row>
    <row r="29" spans="2:14" x14ac:dyDescent="0.2">
      <c r="B29" t="s">
        <v>15</v>
      </c>
    </row>
    <row r="30" spans="2:14" x14ac:dyDescent="0.2">
      <c r="B30" t="s">
        <v>8</v>
      </c>
    </row>
    <row r="31" spans="2:14" x14ac:dyDescent="0.2">
      <c r="B31" t="s">
        <v>9</v>
      </c>
    </row>
    <row r="33" spans="2:14" x14ac:dyDescent="0.2">
      <c r="B33" s="1" t="s">
        <v>27</v>
      </c>
      <c r="C33" s="12">
        <v>5</v>
      </c>
      <c r="D33" s="12">
        <v>4</v>
      </c>
      <c r="E33" s="12">
        <v>5</v>
      </c>
      <c r="F33" s="12">
        <v>4</v>
      </c>
      <c r="G33" s="12">
        <v>4</v>
      </c>
      <c r="H33" s="12">
        <v>4</v>
      </c>
      <c r="I33" s="12">
        <v>5</v>
      </c>
      <c r="J33" s="12">
        <v>5</v>
      </c>
      <c r="K33" s="12">
        <v>4</v>
      </c>
      <c r="L33" s="12">
        <v>5</v>
      </c>
      <c r="M33" s="12">
        <v>1</v>
      </c>
      <c r="N33" s="14">
        <f>SUMPRODUCT(C$3:L$3,C33:L33)*M33</f>
        <v>4.45</v>
      </c>
    </row>
    <row r="34" spans="2:14" x14ac:dyDescent="0.2">
      <c r="B34" s="1" t="s">
        <v>121</v>
      </c>
      <c r="D34"/>
      <c r="E34"/>
      <c r="F34"/>
      <c r="G34"/>
      <c r="H34"/>
      <c r="I34"/>
      <c r="J34"/>
      <c r="K34"/>
      <c r="L34"/>
      <c r="M34"/>
      <c r="N34" s="16" t="b">
        <v>0</v>
      </c>
    </row>
    <row r="35" spans="2:14" x14ac:dyDescent="0.2">
      <c r="B35" s="1" t="s">
        <v>25</v>
      </c>
      <c r="N35" s="16" t="b">
        <v>0</v>
      </c>
    </row>
    <row r="36" spans="2:14" x14ac:dyDescent="0.2">
      <c r="B36" s="1" t="s">
        <v>7</v>
      </c>
      <c r="N36" s="16" t="b">
        <v>0</v>
      </c>
    </row>
    <row r="37" spans="2:14" x14ac:dyDescent="0.2">
      <c r="B37" s="4" t="s">
        <v>26</v>
      </c>
      <c r="N37" s="16" t="b">
        <v>0</v>
      </c>
    </row>
    <row r="38" spans="2:14" x14ac:dyDescent="0.2">
      <c r="B38" t="s">
        <v>22</v>
      </c>
      <c r="N38" s="16" t="b">
        <v>0</v>
      </c>
    </row>
    <row r="39" spans="2:14" x14ac:dyDescent="0.2">
      <c r="B39" t="s">
        <v>28</v>
      </c>
      <c r="N39" s="16" t="b">
        <v>0</v>
      </c>
    </row>
    <row r="40" spans="2:14" x14ac:dyDescent="0.2">
      <c r="B40" t="s">
        <v>23</v>
      </c>
    </row>
    <row r="41" spans="2:14" x14ac:dyDescent="0.2">
      <c r="B41" t="s">
        <v>24</v>
      </c>
    </row>
    <row r="43" spans="2:14" x14ac:dyDescent="0.2">
      <c r="B43" s="1" t="s">
        <v>29</v>
      </c>
      <c r="C43" s="12">
        <v>5</v>
      </c>
      <c r="D43" s="12">
        <v>4</v>
      </c>
      <c r="E43" s="12">
        <v>5</v>
      </c>
      <c r="F43" s="12">
        <v>4</v>
      </c>
      <c r="G43" s="12">
        <v>4</v>
      </c>
      <c r="H43" s="12">
        <v>4</v>
      </c>
      <c r="I43" s="12">
        <v>5</v>
      </c>
      <c r="J43" s="12">
        <v>5</v>
      </c>
      <c r="K43" s="12">
        <v>4</v>
      </c>
      <c r="L43" s="12">
        <v>5</v>
      </c>
      <c r="M43" s="12">
        <v>1</v>
      </c>
      <c r="N43" s="14">
        <f>SUMPRODUCT(C$3:L$3,C43:L43)*M43</f>
        <v>4.45</v>
      </c>
    </row>
    <row r="44" spans="2:14" x14ac:dyDescent="0.2">
      <c r="B44" s="1" t="s">
        <v>121</v>
      </c>
      <c r="C44"/>
      <c r="D44"/>
      <c r="E44"/>
      <c r="F44"/>
      <c r="G44"/>
      <c r="H44"/>
      <c r="I44"/>
      <c r="J44"/>
      <c r="K44"/>
      <c r="L44"/>
      <c r="M44"/>
      <c r="N44" s="16" t="b">
        <v>0</v>
      </c>
    </row>
    <row r="45" spans="2:14" x14ac:dyDescent="0.2">
      <c r="B45" s="1" t="s">
        <v>25</v>
      </c>
      <c r="N45" s="16" t="b">
        <v>0</v>
      </c>
    </row>
    <row r="46" spans="2:14" x14ac:dyDescent="0.2">
      <c r="B46" s="1" t="s">
        <v>7</v>
      </c>
      <c r="N46" s="16" t="b">
        <v>0</v>
      </c>
    </row>
    <row r="47" spans="2:14" x14ac:dyDescent="0.2">
      <c r="B47" s="4" t="s">
        <v>26</v>
      </c>
      <c r="N47" s="16" t="b">
        <v>0</v>
      </c>
    </row>
    <row r="48" spans="2:14" x14ac:dyDescent="0.2">
      <c r="B48" t="s">
        <v>22</v>
      </c>
      <c r="N48" s="16" t="b">
        <v>0</v>
      </c>
    </row>
    <row r="49" spans="2:14" x14ac:dyDescent="0.2">
      <c r="B49" t="s">
        <v>28</v>
      </c>
      <c r="N49" s="16" t="b">
        <v>0</v>
      </c>
    </row>
    <row r="50" spans="2:14" x14ac:dyDescent="0.2">
      <c r="B50" t="s">
        <v>30</v>
      </c>
    </row>
    <row r="51" spans="2:14" x14ac:dyDescent="0.2">
      <c r="B51" t="s">
        <v>24</v>
      </c>
    </row>
    <row r="53" spans="2:14" x14ac:dyDescent="0.2">
      <c r="B53" s="6" t="s">
        <v>146</v>
      </c>
      <c r="C53" s="12">
        <v>5</v>
      </c>
      <c r="D53" s="12">
        <v>4</v>
      </c>
      <c r="E53" s="12">
        <v>5</v>
      </c>
      <c r="F53" s="12">
        <v>5</v>
      </c>
      <c r="G53" s="12">
        <v>3</v>
      </c>
      <c r="H53" s="12">
        <v>4</v>
      </c>
      <c r="I53" s="12">
        <v>5</v>
      </c>
      <c r="J53" s="12">
        <v>5</v>
      </c>
      <c r="K53" s="12">
        <v>5</v>
      </c>
      <c r="L53" s="12">
        <v>5</v>
      </c>
      <c r="M53" s="12">
        <v>1</v>
      </c>
      <c r="N53" s="14">
        <f>SUMPRODUCT(C$3:L$3,C53:L53)*M53</f>
        <v>4.6999999999999993</v>
      </c>
    </row>
    <row r="54" spans="2:14" x14ac:dyDescent="0.2">
      <c r="B54" s="1" t="s">
        <v>145</v>
      </c>
      <c r="N54" s="16" t="b">
        <v>0</v>
      </c>
    </row>
    <row r="55" spans="2:14" x14ac:dyDescent="0.2">
      <c r="B55" s="1" t="s">
        <v>144</v>
      </c>
      <c r="N55" s="16" t="b">
        <v>0</v>
      </c>
    </row>
    <row r="56" spans="2:14" x14ac:dyDescent="0.2">
      <c r="B56" s="1" t="s">
        <v>7</v>
      </c>
      <c r="N56" s="16" t="b">
        <v>0</v>
      </c>
    </row>
    <row r="57" spans="2:14" x14ac:dyDescent="0.2">
      <c r="B57" t="s">
        <v>137</v>
      </c>
      <c r="N57" s="16" t="b">
        <v>0</v>
      </c>
    </row>
    <row r="58" spans="2:14" x14ac:dyDescent="0.2">
      <c r="B58" t="s">
        <v>138</v>
      </c>
      <c r="N58" s="16" t="b">
        <v>0</v>
      </c>
    </row>
    <row r="59" spans="2:14" x14ac:dyDescent="0.2">
      <c r="B59" t="s">
        <v>139</v>
      </c>
      <c r="N59" s="16" t="b">
        <v>0</v>
      </c>
    </row>
    <row r="60" spans="2:14" x14ac:dyDescent="0.2">
      <c r="B60" t="s">
        <v>140</v>
      </c>
    </row>
    <row r="61" spans="2:14" x14ac:dyDescent="0.2">
      <c r="B61" t="s">
        <v>141</v>
      </c>
    </row>
    <row r="62" spans="2:14" x14ac:dyDescent="0.2">
      <c r="B62" s="2" t="s">
        <v>142</v>
      </c>
    </row>
    <row r="63" spans="2:14" x14ac:dyDescent="0.2">
      <c r="B63" t="s">
        <v>143</v>
      </c>
    </row>
    <row r="65" spans="2:14" x14ac:dyDescent="0.2">
      <c r="B65" s="6" t="s">
        <v>152</v>
      </c>
      <c r="C65" s="12">
        <v>5</v>
      </c>
      <c r="D65" s="12">
        <v>4</v>
      </c>
      <c r="E65" s="12">
        <v>5</v>
      </c>
      <c r="F65" s="12">
        <v>5</v>
      </c>
      <c r="G65" s="12">
        <v>3</v>
      </c>
      <c r="H65" s="12">
        <v>4</v>
      </c>
      <c r="I65" s="12">
        <v>5</v>
      </c>
      <c r="J65" s="12">
        <v>5</v>
      </c>
      <c r="K65" s="12">
        <v>5</v>
      </c>
      <c r="L65" s="12">
        <v>5</v>
      </c>
      <c r="M65" s="12">
        <v>1</v>
      </c>
      <c r="N65" s="14">
        <f>SUMPRODUCT(C$3:L$3,C65:L65)*M65</f>
        <v>4.6999999999999993</v>
      </c>
    </row>
    <row r="66" spans="2:14" x14ac:dyDescent="0.2">
      <c r="B66" s="1" t="s">
        <v>153</v>
      </c>
      <c r="N66" s="16" t="b">
        <v>0</v>
      </c>
    </row>
    <row r="67" spans="2:14" x14ac:dyDescent="0.2">
      <c r="B67" s="1" t="s">
        <v>154</v>
      </c>
      <c r="N67" s="16" t="b">
        <v>0</v>
      </c>
    </row>
    <row r="68" spans="2:14" x14ac:dyDescent="0.2">
      <c r="B68" s="1" t="s">
        <v>7</v>
      </c>
      <c r="N68" s="16" t="b">
        <v>0</v>
      </c>
    </row>
    <row r="69" spans="2:14" x14ac:dyDescent="0.2">
      <c r="B69" t="s">
        <v>147</v>
      </c>
      <c r="N69" s="16" t="b">
        <v>0</v>
      </c>
    </row>
    <row r="70" spans="2:14" x14ac:dyDescent="0.2">
      <c r="B70" t="s">
        <v>148</v>
      </c>
      <c r="N70" s="16" t="b">
        <v>0</v>
      </c>
    </row>
    <row r="71" spans="2:14" x14ac:dyDescent="0.2">
      <c r="B71" t="s">
        <v>149</v>
      </c>
      <c r="N71" s="16" t="b">
        <v>0</v>
      </c>
    </row>
    <row r="72" spans="2:14" x14ac:dyDescent="0.2">
      <c r="B72" t="s">
        <v>150</v>
      </c>
    </row>
    <row r="73" spans="2:14" x14ac:dyDescent="0.2">
      <c r="B73" t="s">
        <v>151</v>
      </c>
    </row>
    <row r="75" spans="2:14" x14ac:dyDescent="0.2">
      <c r="B75" s="1" t="s">
        <v>31</v>
      </c>
      <c r="C75" s="12">
        <v>4</v>
      </c>
      <c r="D75" s="12">
        <v>3</v>
      </c>
      <c r="E75" s="12">
        <v>5</v>
      </c>
      <c r="F75" s="12">
        <v>3</v>
      </c>
      <c r="G75" s="12">
        <v>2</v>
      </c>
      <c r="H75" s="12">
        <v>4</v>
      </c>
      <c r="I75" s="12">
        <v>5</v>
      </c>
      <c r="J75" s="12">
        <v>4</v>
      </c>
      <c r="K75" s="12">
        <v>4</v>
      </c>
      <c r="L75" s="12">
        <v>5</v>
      </c>
      <c r="M75" s="12">
        <v>1</v>
      </c>
      <c r="N75" s="14">
        <f>SUMPRODUCT(C$3:L$3,C75:L75)*M75</f>
        <v>3.85</v>
      </c>
    </row>
    <row r="76" spans="2:14" x14ac:dyDescent="0.2">
      <c r="B76" s="1" t="s">
        <v>32</v>
      </c>
      <c r="C76"/>
      <c r="D76"/>
      <c r="E76"/>
      <c r="F76"/>
      <c r="G76"/>
      <c r="H76"/>
      <c r="I76"/>
      <c r="J76"/>
      <c r="K76"/>
      <c r="L76"/>
      <c r="M76"/>
      <c r="N76" s="16" t="b">
        <v>0</v>
      </c>
    </row>
    <row r="77" spans="2:14" x14ac:dyDescent="0.2">
      <c r="B77" s="1" t="s">
        <v>36</v>
      </c>
      <c r="N77" s="16" t="b">
        <v>0</v>
      </c>
    </row>
    <row r="78" spans="2:14" x14ac:dyDescent="0.2">
      <c r="B78" s="1" t="s">
        <v>7</v>
      </c>
      <c r="N78" s="16" t="b">
        <v>0</v>
      </c>
    </row>
    <row r="79" spans="2:14" x14ac:dyDescent="0.2">
      <c r="B79" t="s">
        <v>33</v>
      </c>
      <c r="N79" s="16" t="b">
        <v>0</v>
      </c>
    </row>
    <row r="80" spans="2:14" x14ac:dyDescent="0.2">
      <c r="B80" t="s">
        <v>34</v>
      </c>
      <c r="N80" s="16" t="b">
        <v>0</v>
      </c>
    </row>
    <row r="81" spans="2:14" x14ac:dyDescent="0.2">
      <c r="B81" t="s">
        <v>35</v>
      </c>
      <c r="N81" s="16" t="b">
        <v>0</v>
      </c>
    </row>
    <row r="83" spans="2:14" x14ac:dyDescent="0.2">
      <c r="B83" s="1" t="s">
        <v>37</v>
      </c>
      <c r="C83" s="12">
        <v>4</v>
      </c>
      <c r="D83" s="12">
        <v>4</v>
      </c>
      <c r="E83" s="12">
        <v>5</v>
      </c>
      <c r="F83" s="12">
        <v>4</v>
      </c>
      <c r="G83" s="12">
        <v>2</v>
      </c>
      <c r="H83" s="12">
        <v>4</v>
      </c>
      <c r="I83" s="12">
        <v>5</v>
      </c>
      <c r="J83" s="12">
        <v>5</v>
      </c>
      <c r="K83" s="12">
        <v>5</v>
      </c>
      <c r="L83" s="12">
        <v>5</v>
      </c>
      <c r="M83" s="12">
        <v>1</v>
      </c>
      <c r="N83" s="14">
        <f>SUMPRODUCT(C$3:L$3,C83:L83)*M83</f>
        <v>4.3499999999999996</v>
      </c>
    </row>
    <row r="84" spans="2:14" x14ac:dyDescent="0.2">
      <c r="B84" s="1" t="s">
        <v>38</v>
      </c>
      <c r="C84"/>
      <c r="D84"/>
      <c r="E84"/>
      <c r="F84"/>
      <c r="G84"/>
      <c r="H84"/>
      <c r="I84"/>
      <c r="J84"/>
      <c r="K84"/>
      <c r="L84"/>
      <c r="M84"/>
      <c r="N84" s="16" t="b">
        <v>0</v>
      </c>
    </row>
    <row r="85" spans="2:14" x14ac:dyDescent="0.2">
      <c r="B85" s="1" t="s">
        <v>36</v>
      </c>
      <c r="N85" s="16" t="b">
        <v>0</v>
      </c>
    </row>
    <row r="86" spans="2:14" x14ac:dyDescent="0.2">
      <c r="B86" s="1" t="s">
        <v>7</v>
      </c>
      <c r="N86" s="16" t="b">
        <v>0</v>
      </c>
    </row>
    <row r="87" spans="2:14" x14ac:dyDescent="0.2">
      <c r="B87" t="s">
        <v>39</v>
      </c>
      <c r="N87" s="16" t="b">
        <v>0</v>
      </c>
    </row>
    <row r="88" spans="2:14" x14ac:dyDescent="0.2">
      <c r="B88" t="s">
        <v>40</v>
      </c>
      <c r="N88" s="16" t="b">
        <v>0</v>
      </c>
    </row>
    <row r="89" spans="2:14" x14ac:dyDescent="0.2">
      <c r="N89" s="16" t="b">
        <v>0</v>
      </c>
    </row>
    <row r="90" spans="2:14" x14ac:dyDescent="0.2">
      <c r="B90" s="1" t="s">
        <v>43</v>
      </c>
      <c r="C90" s="12">
        <v>4</v>
      </c>
      <c r="D90" s="12">
        <v>4</v>
      </c>
      <c r="E90" s="12">
        <v>5</v>
      </c>
      <c r="F90" s="12">
        <v>4</v>
      </c>
      <c r="G90" s="12">
        <v>4</v>
      </c>
      <c r="H90" s="12">
        <v>4</v>
      </c>
      <c r="I90" s="12">
        <v>5</v>
      </c>
      <c r="J90" s="12">
        <v>4</v>
      </c>
      <c r="K90" s="12">
        <v>4</v>
      </c>
      <c r="L90" s="12">
        <v>5</v>
      </c>
      <c r="M90" s="12">
        <v>1</v>
      </c>
      <c r="N90" s="14">
        <f>SUMPRODUCT(C$3:L$3,C90:L90)*M90</f>
        <v>4.2</v>
      </c>
    </row>
    <row r="91" spans="2:14" x14ac:dyDescent="0.2">
      <c r="B91" s="1" t="s">
        <v>120</v>
      </c>
      <c r="C91"/>
      <c r="D91"/>
      <c r="E91"/>
      <c r="F91"/>
      <c r="G91"/>
      <c r="H91"/>
      <c r="I91"/>
      <c r="J91"/>
      <c r="K91"/>
      <c r="L91"/>
      <c r="M91"/>
      <c r="N91" s="16" t="b">
        <v>0</v>
      </c>
    </row>
    <row r="92" spans="2:14" x14ac:dyDescent="0.2">
      <c r="B92" s="1" t="s">
        <v>41</v>
      </c>
      <c r="N92" s="16" t="b">
        <v>0</v>
      </c>
    </row>
    <row r="93" spans="2:14" x14ac:dyDescent="0.2">
      <c r="B93" s="1" t="s">
        <v>7</v>
      </c>
      <c r="N93" s="16" t="b">
        <v>0</v>
      </c>
    </row>
    <row r="94" spans="2:14" x14ac:dyDescent="0.2">
      <c r="B94" t="s">
        <v>42</v>
      </c>
      <c r="N94" s="16" t="b">
        <v>0</v>
      </c>
    </row>
    <row r="95" spans="2:14" x14ac:dyDescent="0.2">
      <c r="B95" s="2" t="s">
        <v>12</v>
      </c>
      <c r="N95" s="16" t="b">
        <v>0</v>
      </c>
    </row>
    <row r="96" spans="2:14" x14ac:dyDescent="0.2">
      <c r="B96" s="2" t="s">
        <v>1</v>
      </c>
      <c r="N96" s="16" t="b">
        <v>0</v>
      </c>
    </row>
    <row r="97" spans="2:2" x14ac:dyDescent="0.2">
      <c r="B97" t="s">
        <v>14</v>
      </c>
    </row>
    <row r="98" spans="2:2" x14ac:dyDescent="0.2">
      <c r="B98" t="s">
        <v>3</v>
      </c>
    </row>
    <row r="99" spans="2:2" x14ac:dyDescent="0.2">
      <c r="B99" t="s">
        <v>4</v>
      </c>
    </row>
    <row r="101" spans="2:2" x14ac:dyDescent="0.2">
      <c r="B101" s="1" t="s">
        <v>171</v>
      </c>
    </row>
    <row r="102" spans="2:2" x14ac:dyDescent="0.2">
      <c r="B102" s="1" t="s">
        <v>176</v>
      </c>
    </row>
    <row r="103" spans="2:2" x14ac:dyDescent="0.2">
      <c r="B103" s="1" t="s">
        <v>41</v>
      </c>
    </row>
    <row r="104" spans="2:2" x14ac:dyDescent="0.2">
      <c r="B104" s="1" t="s">
        <v>7</v>
      </c>
    </row>
    <row r="105" spans="2:2" x14ac:dyDescent="0.2">
      <c r="B105" t="s">
        <v>172</v>
      </c>
    </row>
    <row r="107" spans="2:2" x14ac:dyDescent="0.2">
      <c r="B107" t="s">
        <v>173</v>
      </c>
    </row>
    <row r="109" spans="2:2" x14ac:dyDescent="0.2">
      <c r="B109" t="s">
        <v>174</v>
      </c>
    </row>
    <row r="111" spans="2:2" x14ac:dyDescent="0.2">
      <c r="B111" t="s">
        <v>175</v>
      </c>
    </row>
    <row r="114" spans="2:14" ht="22" x14ac:dyDescent="0.3">
      <c r="B114" s="5" t="s">
        <v>44</v>
      </c>
    </row>
    <row r="116" spans="2:14" x14ac:dyDescent="0.2">
      <c r="B116" s="1" t="s">
        <v>46</v>
      </c>
      <c r="C116" s="12">
        <v>4</v>
      </c>
      <c r="D116" s="12">
        <v>3</v>
      </c>
      <c r="E116" s="12">
        <v>5</v>
      </c>
      <c r="F116" s="12">
        <v>4</v>
      </c>
      <c r="G116" s="12">
        <v>4</v>
      </c>
      <c r="H116" s="12">
        <v>5</v>
      </c>
      <c r="I116" s="12">
        <v>5</v>
      </c>
      <c r="J116" s="12">
        <v>4</v>
      </c>
      <c r="K116" s="12">
        <v>4</v>
      </c>
      <c r="L116" s="12">
        <v>5</v>
      </c>
      <c r="M116" s="12">
        <v>1</v>
      </c>
      <c r="N116" s="14">
        <f>SUMPRODUCT(C$3:L$3,C116:L116)*M116</f>
        <v>4.2</v>
      </c>
    </row>
    <row r="117" spans="2:14" x14ac:dyDescent="0.2">
      <c r="B117" s="1" t="s">
        <v>122</v>
      </c>
      <c r="C117"/>
      <c r="D117"/>
      <c r="E117"/>
      <c r="F117"/>
      <c r="G117"/>
      <c r="H117"/>
      <c r="I117"/>
      <c r="J117"/>
      <c r="K117"/>
      <c r="L117"/>
      <c r="M117"/>
      <c r="N117" s="16" t="b">
        <v>0</v>
      </c>
    </row>
    <row r="118" spans="2:14" x14ac:dyDescent="0.2">
      <c r="B118" s="1" t="s">
        <v>50</v>
      </c>
      <c r="N118" s="16" t="b">
        <v>0</v>
      </c>
    </row>
    <row r="119" spans="2:14" x14ac:dyDescent="0.2">
      <c r="B119" s="1" t="s">
        <v>7</v>
      </c>
      <c r="N119" s="16" t="b">
        <v>0</v>
      </c>
    </row>
    <row r="120" spans="2:14" x14ac:dyDescent="0.2">
      <c r="B120" s="2" t="s">
        <v>47</v>
      </c>
      <c r="N120" s="16" t="b">
        <v>0</v>
      </c>
    </row>
    <row r="121" spans="2:14" x14ac:dyDescent="0.2">
      <c r="B121" t="s">
        <v>48</v>
      </c>
      <c r="N121" s="16" t="b">
        <v>0</v>
      </c>
    </row>
    <row r="122" spans="2:14" x14ac:dyDescent="0.2">
      <c r="B122" t="s">
        <v>49</v>
      </c>
      <c r="N122" s="16" t="b">
        <v>0</v>
      </c>
    </row>
    <row r="124" spans="2:14" x14ac:dyDescent="0.2">
      <c r="B124" s="1" t="s">
        <v>51</v>
      </c>
      <c r="C124" s="12">
        <v>3</v>
      </c>
      <c r="D124" s="12">
        <v>2</v>
      </c>
      <c r="E124" s="12">
        <v>5</v>
      </c>
      <c r="F124" s="12">
        <v>3</v>
      </c>
      <c r="G124" s="12">
        <v>4</v>
      </c>
      <c r="H124" s="12">
        <v>4</v>
      </c>
      <c r="I124" s="12">
        <v>5</v>
      </c>
      <c r="J124" s="12">
        <v>3</v>
      </c>
      <c r="K124" s="12">
        <v>3</v>
      </c>
      <c r="L124" s="12">
        <v>5</v>
      </c>
      <c r="M124" s="12">
        <v>1</v>
      </c>
      <c r="N124" s="14">
        <f>SUMPRODUCT(C$3:L$3,C124:L124)*M124</f>
        <v>3.45</v>
      </c>
    </row>
    <row r="125" spans="2:14" x14ac:dyDescent="0.2">
      <c r="B125" s="1" t="s">
        <v>122</v>
      </c>
      <c r="C125"/>
      <c r="D125"/>
      <c r="E125"/>
      <c r="F125"/>
      <c r="G125"/>
      <c r="H125"/>
      <c r="I125"/>
      <c r="J125"/>
      <c r="K125"/>
      <c r="L125"/>
      <c r="M125"/>
      <c r="N125" s="16" t="b">
        <v>0</v>
      </c>
    </row>
    <row r="126" spans="2:14" x14ac:dyDescent="0.2">
      <c r="B126" s="1" t="s">
        <v>41</v>
      </c>
      <c r="N126" s="16" t="b">
        <v>0</v>
      </c>
    </row>
    <row r="127" spans="2:14" x14ac:dyDescent="0.2">
      <c r="B127" s="1" t="s">
        <v>7</v>
      </c>
      <c r="N127" s="16" t="b">
        <v>0</v>
      </c>
    </row>
    <row r="128" spans="2:14" x14ac:dyDescent="0.2">
      <c r="B128" t="s">
        <v>52</v>
      </c>
      <c r="N128" s="16" t="b">
        <v>0</v>
      </c>
    </row>
    <row r="129" spans="2:14" x14ac:dyDescent="0.2">
      <c r="B129" t="s">
        <v>53</v>
      </c>
      <c r="N129" s="16" t="b">
        <v>0</v>
      </c>
    </row>
    <row r="130" spans="2:14" x14ac:dyDescent="0.2">
      <c r="B130" t="s">
        <v>49</v>
      </c>
      <c r="N130" s="16" t="b">
        <v>0</v>
      </c>
    </row>
    <row r="132" spans="2:14" x14ac:dyDescent="0.2">
      <c r="B132" s="1" t="s">
        <v>54</v>
      </c>
      <c r="C132" s="12">
        <v>4</v>
      </c>
      <c r="D132" s="12">
        <v>2</v>
      </c>
      <c r="E132" s="12">
        <v>5</v>
      </c>
      <c r="F132" s="12">
        <v>3</v>
      </c>
      <c r="G132" s="12">
        <v>4</v>
      </c>
      <c r="H132" s="12">
        <v>4</v>
      </c>
      <c r="I132" s="12">
        <v>5</v>
      </c>
      <c r="J132" s="12">
        <v>4</v>
      </c>
      <c r="K132" s="12">
        <v>3</v>
      </c>
      <c r="L132" s="12">
        <v>5</v>
      </c>
      <c r="M132" s="12">
        <v>1</v>
      </c>
      <c r="N132" s="14">
        <f>SUMPRODUCT(C$3:L$3,C132:L132)*M132</f>
        <v>3.7</v>
      </c>
    </row>
    <row r="133" spans="2:14" x14ac:dyDescent="0.2">
      <c r="B133" s="1" t="s">
        <v>122</v>
      </c>
      <c r="C133"/>
      <c r="D133"/>
      <c r="E133"/>
      <c r="F133"/>
      <c r="G133"/>
      <c r="H133"/>
      <c r="I133"/>
      <c r="J133"/>
      <c r="K133"/>
      <c r="L133"/>
      <c r="M133"/>
      <c r="N133" s="16" t="b">
        <v>0</v>
      </c>
    </row>
    <row r="134" spans="2:14" x14ac:dyDescent="0.2">
      <c r="B134" s="1" t="s">
        <v>41</v>
      </c>
      <c r="N134" s="16" t="b">
        <v>0</v>
      </c>
    </row>
    <row r="135" spans="2:14" x14ac:dyDescent="0.2">
      <c r="B135" s="1" t="s">
        <v>7</v>
      </c>
      <c r="N135" s="16" t="b">
        <v>0</v>
      </c>
    </row>
    <row r="136" spans="2:14" x14ac:dyDescent="0.2">
      <c r="B136" t="s">
        <v>55</v>
      </c>
      <c r="N136" s="16" t="b">
        <v>0</v>
      </c>
    </row>
    <row r="137" spans="2:14" x14ac:dyDescent="0.2">
      <c r="B137" t="s">
        <v>49</v>
      </c>
      <c r="N137" s="16" t="b">
        <v>0</v>
      </c>
    </row>
    <row r="138" spans="2:14" x14ac:dyDescent="0.2">
      <c r="N138" s="16" t="b">
        <v>0</v>
      </c>
    </row>
    <row r="139" spans="2:14" x14ac:dyDescent="0.2">
      <c r="B139" s="1" t="s">
        <v>56</v>
      </c>
      <c r="C139" s="12">
        <v>4</v>
      </c>
      <c r="D139" s="12">
        <v>4</v>
      </c>
      <c r="E139" s="12">
        <v>5</v>
      </c>
      <c r="F139" s="12">
        <v>3</v>
      </c>
      <c r="G139" s="12">
        <v>4</v>
      </c>
      <c r="H139" s="12">
        <v>3</v>
      </c>
      <c r="I139" s="12">
        <v>5</v>
      </c>
      <c r="J139" s="12">
        <v>4</v>
      </c>
      <c r="K139" s="12">
        <v>3</v>
      </c>
      <c r="L139" s="12">
        <v>5</v>
      </c>
      <c r="M139" s="12">
        <v>1</v>
      </c>
      <c r="N139" s="14">
        <f>SUMPRODUCT(C$3:L$3,C139:L139)*M139</f>
        <v>3.8</v>
      </c>
    </row>
    <row r="140" spans="2:14" x14ac:dyDescent="0.2">
      <c r="B140" s="1" t="s">
        <v>122</v>
      </c>
      <c r="C140"/>
      <c r="D140"/>
      <c r="E140"/>
      <c r="F140"/>
      <c r="G140"/>
      <c r="H140"/>
      <c r="I140"/>
      <c r="J140"/>
      <c r="K140"/>
      <c r="L140"/>
      <c r="M140"/>
      <c r="N140" s="16" t="b">
        <v>0</v>
      </c>
    </row>
    <row r="141" spans="2:14" x14ac:dyDescent="0.2">
      <c r="B141" s="1" t="s">
        <v>41</v>
      </c>
      <c r="N141" s="16" t="b">
        <v>0</v>
      </c>
    </row>
    <row r="142" spans="2:14" x14ac:dyDescent="0.2">
      <c r="B142" s="1" t="s">
        <v>7</v>
      </c>
      <c r="N142" s="16" t="b">
        <v>0</v>
      </c>
    </row>
    <row r="143" spans="2:14" x14ac:dyDescent="0.2">
      <c r="B143" t="s">
        <v>57</v>
      </c>
      <c r="N143" s="16" t="b">
        <v>0</v>
      </c>
    </row>
    <row r="144" spans="2:14" x14ac:dyDescent="0.2">
      <c r="B144" t="s">
        <v>58</v>
      </c>
      <c r="N144" s="16" t="b">
        <v>0</v>
      </c>
    </row>
    <row r="145" spans="2:16" x14ac:dyDescent="0.2">
      <c r="B145" t="s">
        <v>49</v>
      </c>
      <c r="N145" s="16" t="b">
        <v>0</v>
      </c>
    </row>
    <row r="148" spans="2:16" x14ac:dyDescent="0.2">
      <c r="O148" t="s">
        <v>163</v>
      </c>
      <c r="P148" t="s">
        <v>167</v>
      </c>
    </row>
    <row r="149" spans="2:16" x14ac:dyDescent="0.2">
      <c r="O149" t="s">
        <v>164</v>
      </c>
      <c r="P149" t="s">
        <v>168</v>
      </c>
    </row>
    <row r="150" spans="2:16" x14ac:dyDescent="0.2">
      <c r="O150" t="s">
        <v>165</v>
      </c>
      <c r="P150" t="s">
        <v>169</v>
      </c>
    </row>
    <row r="151" spans="2:16" x14ac:dyDescent="0.2">
      <c r="O151" t="s">
        <v>166</v>
      </c>
      <c r="P151" t="s">
        <v>170</v>
      </c>
    </row>
  </sheetData>
  <mergeCells count="1">
    <mergeCell ref="C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02C4-5F65-994C-834A-AEE6BC938B0F}">
  <dimension ref="B1:P57"/>
  <sheetViews>
    <sheetView showGridLines="0" topLeftCell="B1" workbookViewId="0">
      <pane xSplit="1" ySplit="4" topLeftCell="C28" activePane="bottomRight" state="frozen"/>
      <selection activeCell="B1" sqref="B1"/>
      <selection pane="topRight" activeCell="C1" sqref="C1"/>
      <selection pane="bottomLeft" activeCell="B5" sqref="B5"/>
      <selection pane="bottomRight" activeCell="N46" sqref="N46:N51"/>
    </sheetView>
  </sheetViews>
  <sheetFormatPr baseColWidth="10" defaultRowHeight="16" x14ac:dyDescent="0.2"/>
  <cols>
    <col min="1" max="1" width="3.33203125" customWidth="1"/>
    <col min="2" max="2" width="83.33203125" customWidth="1"/>
    <col min="3" max="3" width="11.83203125" bestFit="1" customWidth="1"/>
    <col min="4" max="6" width="12" bestFit="1" customWidth="1"/>
    <col min="7" max="8" width="10" bestFit="1" customWidth="1"/>
    <col min="9" max="9" width="14" bestFit="1" customWidth="1"/>
    <col min="10" max="11" width="12" bestFit="1" customWidth="1"/>
    <col min="12" max="12" width="14" bestFit="1" customWidth="1"/>
    <col min="13" max="13" width="12" bestFit="1" customWidth="1"/>
    <col min="14" max="14" width="8.6640625" bestFit="1" customWidth="1"/>
    <col min="16" max="16" width="11.83203125" bestFit="1" customWidth="1"/>
  </cols>
  <sheetData>
    <row r="1" spans="2:14" x14ac:dyDescent="0.2">
      <c r="C1" s="9" t="s">
        <v>5</v>
      </c>
      <c r="D1" s="9"/>
      <c r="E1" s="9"/>
      <c r="F1" s="9"/>
      <c r="G1" s="9"/>
      <c r="H1" s="9"/>
      <c r="I1" s="9"/>
      <c r="J1" s="9"/>
      <c r="K1" s="9"/>
      <c r="L1" s="9"/>
      <c r="M1" s="9"/>
      <c r="N1" s="7"/>
    </row>
    <row r="2" spans="2:14" ht="51" x14ac:dyDescent="0.2">
      <c r="C2" s="10" t="s">
        <v>123</v>
      </c>
      <c r="D2" s="10" t="s">
        <v>124</v>
      </c>
      <c r="E2" s="10" t="s">
        <v>125</v>
      </c>
      <c r="F2" s="10" t="s">
        <v>126</v>
      </c>
      <c r="G2" s="10" t="s">
        <v>127</v>
      </c>
      <c r="H2" s="10" t="s">
        <v>136</v>
      </c>
      <c r="I2" s="10" t="s">
        <v>128</v>
      </c>
      <c r="J2" s="10" t="s">
        <v>129</v>
      </c>
      <c r="K2" s="10" t="s">
        <v>130</v>
      </c>
      <c r="L2" s="10" t="s">
        <v>131</v>
      </c>
      <c r="M2" s="10" t="s">
        <v>134</v>
      </c>
      <c r="N2" s="7"/>
    </row>
    <row r="3" spans="2:14" x14ac:dyDescent="0.2">
      <c r="C3" s="11">
        <v>0.15</v>
      </c>
      <c r="D3" s="11">
        <v>0.1</v>
      </c>
      <c r="E3" s="11">
        <v>0.1</v>
      </c>
      <c r="F3" s="11">
        <v>0.15</v>
      </c>
      <c r="G3" s="11">
        <v>0.05</v>
      </c>
      <c r="H3" s="11">
        <v>0.1</v>
      </c>
      <c r="I3" s="11">
        <v>0.05</v>
      </c>
      <c r="J3" s="11">
        <v>0.1</v>
      </c>
      <c r="K3" s="11">
        <v>0.15</v>
      </c>
      <c r="L3" s="11">
        <v>0.05</v>
      </c>
      <c r="M3" s="11">
        <v>1</v>
      </c>
      <c r="N3" s="13">
        <f>SUM(C3:L3)</f>
        <v>1</v>
      </c>
    </row>
    <row r="4" spans="2:14" ht="34" x14ac:dyDescent="0.2">
      <c r="C4" s="11" t="str">
        <f>"1"&amp;_xlfn.UNICHAR(8594)&amp;"5 热度"&amp;_xlfn.UNICHAR(8593)</f>
        <v>1→5 热度↑</v>
      </c>
      <c r="D4" s="11" t="str">
        <f>"1"&amp;_xlfn.UNICHAR(8594)&amp;"5 契合度"&amp;_xlfn.UNICHAR(8593)</f>
        <v>1→5 契合度↑</v>
      </c>
      <c r="E4" s="11" t="str">
        <f>"1"&amp;_xlfn.UNICHAR(8594)&amp;"5 争议度"&amp;_xlfn.UNICHAR(8595)</f>
        <v>1→5 争议度↓</v>
      </c>
      <c r="F4" s="11" t="str">
        <f>"1"&amp;_xlfn.UNICHAR(8594)&amp;"5 对抗性"&amp;_xlfn.UNICHAR(8593)</f>
        <v>1→5 对抗性↑</v>
      </c>
      <c r="G4" s="11" t="str">
        <f>"1"&amp;_xlfn.UNICHAR(8594)&amp;"5 周期"&amp;_xlfn.UNICHAR(8593)</f>
        <v>1→5 周期↑</v>
      </c>
      <c r="H4" s="15" t="str">
        <f>"1"&amp;_xlfn.UNICHAR(8594)&amp;"5 渊源"&amp;_xlfn.UNICHAR(8593)</f>
        <v>1→5 渊源↑</v>
      </c>
      <c r="I4" s="11" t="str">
        <f>"1"&amp;_xlfn.UNICHAR(8594)&amp;"5 可标准化"&amp;_xlfn.UNICHAR(8593)</f>
        <v>1→5 可标准化↑</v>
      </c>
      <c r="J4" s="11" t="str">
        <f>"1"&amp;_xlfn.UNICHAR(8594)&amp;"5 流动性"&amp;_xlfn.UNICHAR(8593)</f>
        <v>1→5 流动性↑</v>
      </c>
      <c r="K4" s="11" t="str">
        <f>"1"&amp;_xlfn.UNICHAR(8594)&amp;"5 波动性"&amp;_xlfn.UNICHAR(8593)</f>
        <v>1→5 波动性↑</v>
      </c>
      <c r="L4" s="11" t="str">
        <f>"1"&amp;_xlfn.UNICHAR(8594)&amp;"5 容易程度"&amp;_xlfn.UNICHAR(8593)</f>
        <v>1→5 容易程度↑</v>
      </c>
      <c r="M4" s="15" t="s">
        <v>135</v>
      </c>
      <c r="N4" s="13" t="s">
        <v>132</v>
      </c>
    </row>
    <row r="5" spans="2:14" ht="22" x14ac:dyDescent="0.3">
      <c r="B5" s="5" t="s">
        <v>44</v>
      </c>
    </row>
    <row r="7" spans="2:14" x14ac:dyDescent="0.2">
      <c r="B7" s="1" t="s">
        <v>59</v>
      </c>
      <c r="C7" s="12">
        <v>5</v>
      </c>
      <c r="D7" s="12">
        <v>5</v>
      </c>
      <c r="E7" s="12">
        <v>5</v>
      </c>
      <c r="F7" s="12">
        <v>4</v>
      </c>
      <c r="G7" s="12">
        <v>4</v>
      </c>
      <c r="H7" s="12">
        <v>4</v>
      </c>
      <c r="I7" s="12">
        <v>5</v>
      </c>
      <c r="J7" s="12">
        <v>4</v>
      </c>
      <c r="K7" s="12">
        <v>4</v>
      </c>
      <c r="L7" s="12">
        <v>5</v>
      </c>
      <c r="M7" s="12">
        <v>1</v>
      </c>
      <c r="N7" s="14" cm="1">
        <f t="array" ref="N7">SUMPRODUCT(C$3:L$3,C7:L7*M7)</f>
        <v>4.45</v>
      </c>
    </row>
    <row r="8" spans="2:14" x14ac:dyDescent="0.2">
      <c r="B8" s="1" t="s">
        <v>122</v>
      </c>
      <c r="N8" s="16" t="b">
        <v>0</v>
      </c>
    </row>
    <row r="9" spans="2:14" x14ac:dyDescent="0.2">
      <c r="B9" s="1" t="s">
        <v>41</v>
      </c>
      <c r="N9" s="16" t="b">
        <v>0</v>
      </c>
    </row>
    <row r="10" spans="2:14" x14ac:dyDescent="0.2">
      <c r="B10" s="1" t="s">
        <v>7</v>
      </c>
      <c r="N10" s="16" t="b">
        <v>0</v>
      </c>
    </row>
    <row r="11" spans="2:14" x14ac:dyDescent="0.2">
      <c r="B11" t="s">
        <v>60</v>
      </c>
      <c r="N11" s="16" t="b">
        <v>0</v>
      </c>
    </row>
    <row r="12" spans="2:14" x14ac:dyDescent="0.2">
      <c r="B12" t="s">
        <v>61</v>
      </c>
      <c r="N12" s="16" t="b">
        <v>0</v>
      </c>
    </row>
    <row r="13" spans="2:14" x14ac:dyDescent="0.2">
      <c r="B13" t="s">
        <v>62</v>
      </c>
      <c r="N13" s="16" t="b">
        <v>0</v>
      </c>
    </row>
    <row r="14" spans="2:14" x14ac:dyDescent="0.2">
      <c r="B14" t="s">
        <v>63</v>
      </c>
    </row>
    <row r="16" spans="2:14" x14ac:dyDescent="0.2">
      <c r="B16" s="1" t="s">
        <v>64</v>
      </c>
      <c r="C16" s="12">
        <v>4</v>
      </c>
      <c r="D16" s="12">
        <v>5</v>
      </c>
      <c r="E16" s="12">
        <v>5</v>
      </c>
      <c r="F16" s="12">
        <v>4</v>
      </c>
      <c r="G16" s="12">
        <v>4</v>
      </c>
      <c r="H16" s="12">
        <v>5</v>
      </c>
      <c r="I16" s="12">
        <v>5</v>
      </c>
      <c r="J16" s="12">
        <v>5</v>
      </c>
      <c r="K16" s="12">
        <v>4</v>
      </c>
      <c r="L16" s="12">
        <v>5</v>
      </c>
      <c r="M16" s="12">
        <v>1</v>
      </c>
      <c r="N16" s="14" cm="1">
        <f t="array" ref="N16">SUMPRODUCT(C$3:L$3,C16:L16*M16)</f>
        <v>4.5</v>
      </c>
    </row>
    <row r="17" spans="2:14" x14ac:dyDescent="0.2">
      <c r="B17" s="1" t="s">
        <v>122</v>
      </c>
      <c r="N17" s="16" t="b">
        <v>0</v>
      </c>
    </row>
    <row r="18" spans="2:14" x14ac:dyDescent="0.2">
      <c r="B18" s="1" t="s">
        <v>70</v>
      </c>
      <c r="N18" s="16" t="b">
        <v>0</v>
      </c>
    </row>
    <row r="19" spans="2:14" x14ac:dyDescent="0.2">
      <c r="B19" s="1" t="s">
        <v>7</v>
      </c>
      <c r="N19" s="16" t="b">
        <v>0</v>
      </c>
    </row>
    <row r="20" spans="2:14" x14ac:dyDescent="0.2">
      <c r="B20" s="2" t="s">
        <v>65</v>
      </c>
      <c r="N20" s="16" t="b">
        <v>0</v>
      </c>
    </row>
    <row r="21" spans="2:14" x14ac:dyDescent="0.2">
      <c r="B21" s="2" t="s">
        <v>66</v>
      </c>
      <c r="N21" s="16" t="b">
        <v>0</v>
      </c>
    </row>
    <row r="22" spans="2:14" x14ac:dyDescent="0.2">
      <c r="B22" t="s">
        <v>67</v>
      </c>
      <c r="N22" s="16" t="b">
        <v>0</v>
      </c>
    </row>
    <row r="23" spans="2:14" x14ac:dyDescent="0.2">
      <c r="B23" t="s">
        <v>68</v>
      </c>
    </row>
    <row r="24" spans="2:14" x14ac:dyDescent="0.2">
      <c r="B24" t="s">
        <v>69</v>
      </c>
    </row>
    <row r="26" spans="2:14" x14ac:dyDescent="0.2">
      <c r="B26" s="1" t="s">
        <v>71</v>
      </c>
      <c r="C26" s="12">
        <v>5</v>
      </c>
      <c r="D26" s="12">
        <v>5</v>
      </c>
      <c r="E26" s="12">
        <v>5</v>
      </c>
      <c r="F26" s="12">
        <v>4</v>
      </c>
      <c r="G26" s="12">
        <v>4</v>
      </c>
      <c r="H26" s="12">
        <v>4</v>
      </c>
      <c r="I26" s="12">
        <v>5</v>
      </c>
      <c r="J26" s="12">
        <v>5</v>
      </c>
      <c r="K26" s="12">
        <v>5</v>
      </c>
      <c r="L26" s="12">
        <v>5</v>
      </c>
      <c r="M26" s="12">
        <v>1</v>
      </c>
      <c r="N26" s="14" cm="1">
        <f t="array" ref="N26">SUMPRODUCT(C$3:L$3,C26:L26*M26)</f>
        <v>4.7</v>
      </c>
    </row>
    <row r="27" spans="2:14" x14ac:dyDescent="0.2">
      <c r="B27" s="1" t="s">
        <v>122</v>
      </c>
      <c r="N27" s="16" t="b">
        <v>0</v>
      </c>
    </row>
    <row r="28" spans="2:14" x14ac:dyDescent="0.2">
      <c r="B28" s="1" t="s">
        <v>41</v>
      </c>
      <c r="N28" s="16" t="b">
        <v>0</v>
      </c>
    </row>
    <row r="29" spans="2:14" x14ac:dyDescent="0.2">
      <c r="B29" s="1" t="s">
        <v>7</v>
      </c>
      <c r="N29" s="16" t="b">
        <v>0</v>
      </c>
    </row>
    <row r="30" spans="2:14" x14ac:dyDescent="0.2">
      <c r="B30" t="s">
        <v>72</v>
      </c>
      <c r="N30" s="16" t="b">
        <v>0</v>
      </c>
    </row>
    <row r="31" spans="2:14" x14ac:dyDescent="0.2">
      <c r="B31" t="s">
        <v>73</v>
      </c>
      <c r="N31" s="16" t="b">
        <v>0</v>
      </c>
    </row>
    <row r="32" spans="2:14" x14ac:dyDescent="0.2">
      <c r="B32" t="s">
        <v>74</v>
      </c>
      <c r="N32" s="16" t="b">
        <v>0</v>
      </c>
    </row>
    <row r="33" spans="2:14" x14ac:dyDescent="0.2">
      <c r="B33" t="s">
        <v>75</v>
      </c>
    </row>
    <row r="35" spans="2:14" x14ac:dyDescent="0.2">
      <c r="B35" s="6" t="s">
        <v>81</v>
      </c>
      <c r="C35" s="12">
        <v>4</v>
      </c>
      <c r="D35" s="12">
        <v>5</v>
      </c>
      <c r="E35" s="12">
        <v>4</v>
      </c>
      <c r="F35" s="12">
        <v>3</v>
      </c>
      <c r="G35" s="12">
        <v>4</v>
      </c>
      <c r="H35" s="12">
        <v>3</v>
      </c>
      <c r="I35" s="12">
        <v>4</v>
      </c>
      <c r="J35" s="12">
        <v>4</v>
      </c>
      <c r="K35" s="12">
        <v>4</v>
      </c>
      <c r="L35" s="12">
        <v>4</v>
      </c>
      <c r="M35" s="12">
        <v>1</v>
      </c>
      <c r="N35" s="14" cm="1">
        <f t="array" ref="N35">SUMPRODUCT(C$3:L$3,C35:L35*M35)</f>
        <v>3.8500000000000005</v>
      </c>
    </row>
    <row r="36" spans="2:14" x14ac:dyDescent="0.2">
      <c r="B36" s="1" t="s">
        <v>122</v>
      </c>
      <c r="N36" s="16" t="b">
        <v>0</v>
      </c>
    </row>
    <row r="37" spans="2:14" x14ac:dyDescent="0.2">
      <c r="B37" s="1" t="s">
        <v>41</v>
      </c>
      <c r="N37" s="16" t="b">
        <v>0</v>
      </c>
    </row>
    <row r="38" spans="2:14" x14ac:dyDescent="0.2">
      <c r="B38" s="1" t="s">
        <v>7</v>
      </c>
      <c r="N38" s="16" t="b">
        <v>0</v>
      </c>
    </row>
    <row r="39" spans="2:14" x14ac:dyDescent="0.2">
      <c r="B39" t="s">
        <v>76</v>
      </c>
      <c r="N39" s="16" t="b">
        <v>0</v>
      </c>
    </row>
    <row r="40" spans="2:14" x14ac:dyDescent="0.2">
      <c r="B40" t="s">
        <v>80</v>
      </c>
      <c r="N40" s="16" t="b">
        <v>0</v>
      </c>
    </row>
    <row r="41" spans="2:14" x14ac:dyDescent="0.2">
      <c r="B41" t="s">
        <v>77</v>
      </c>
      <c r="N41" s="16" t="b">
        <v>0</v>
      </c>
    </row>
    <row r="42" spans="2:14" x14ac:dyDescent="0.2">
      <c r="B42" t="s">
        <v>78</v>
      </c>
    </row>
    <row r="43" spans="2:14" x14ac:dyDescent="0.2">
      <c r="B43" t="s">
        <v>79</v>
      </c>
    </row>
    <row r="45" spans="2:14" x14ac:dyDescent="0.2">
      <c r="B45" s="1" t="s">
        <v>82</v>
      </c>
      <c r="C45" s="12">
        <v>4</v>
      </c>
      <c r="D45" s="12">
        <v>5</v>
      </c>
      <c r="E45" s="12">
        <v>5</v>
      </c>
      <c r="F45" s="12">
        <v>3</v>
      </c>
      <c r="G45" s="12">
        <v>4</v>
      </c>
      <c r="H45" s="12">
        <v>4</v>
      </c>
      <c r="I45" s="12">
        <v>5</v>
      </c>
      <c r="J45" s="12">
        <v>4</v>
      </c>
      <c r="K45" s="12">
        <v>3</v>
      </c>
      <c r="L45" s="12">
        <v>5</v>
      </c>
      <c r="M45" s="12">
        <v>1</v>
      </c>
      <c r="N45" s="14" cm="1">
        <f t="array" ref="N45">SUMPRODUCT(C$3:L$3,C45:L45*M45)</f>
        <v>4</v>
      </c>
    </row>
    <row r="46" spans="2:14" x14ac:dyDescent="0.2">
      <c r="B46" s="1" t="s">
        <v>122</v>
      </c>
      <c r="N46" s="16" t="b">
        <v>0</v>
      </c>
    </row>
    <row r="47" spans="2:14" x14ac:dyDescent="0.2">
      <c r="B47" s="1" t="s">
        <v>41</v>
      </c>
      <c r="N47" s="16" t="b">
        <v>0</v>
      </c>
    </row>
    <row r="48" spans="2:14" x14ac:dyDescent="0.2">
      <c r="B48" s="1" t="s">
        <v>7</v>
      </c>
      <c r="N48" s="16" t="b">
        <v>0</v>
      </c>
    </row>
    <row r="49" spans="2:16" x14ac:dyDescent="0.2">
      <c r="B49" t="s">
        <v>83</v>
      </c>
      <c r="N49" s="16" t="b">
        <v>0</v>
      </c>
    </row>
    <row r="50" spans="2:16" x14ac:dyDescent="0.2">
      <c r="B50" t="s">
        <v>84</v>
      </c>
      <c r="N50" s="16" t="b">
        <v>0</v>
      </c>
    </row>
    <row r="51" spans="2:16" x14ac:dyDescent="0.2">
      <c r="B51" t="s">
        <v>85</v>
      </c>
      <c r="N51" s="16" t="b">
        <v>0</v>
      </c>
    </row>
    <row r="54" spans="2:16" x14ac:dyDescent="0.2">
      <c r="O54" t="s">
        <v>163</v>
      </c>
      <c r="P54" t="s">
        <v>167</v>
      </c>
    </row>
    <row r="55" spans="2:16" x14ac:dyDescent="0.2">
      <c r="O55" t="s">
        <v>164</v>
      </c>
      <c r="P55" t="s">
        <v>168</v>
      </c>
    </row>
    <row r="56" spans="2:16" x14ac:dyDescent="0.2">
      <c r="O56" t="s">
        <v>165</v>
      </c>
      <c r="P56" t="s">
        <v>169</v>
      </c>
    </row>
    <row r="57" spans="2:16" x14ac:dyDescent="0.2">
      <c r="O57" t="s">
        <v>166</v>
      </c>
      <c r="P57" t="s">
        <v>170</v>
      </c>
    </row>
  </sheetData>
  <mergeCells count="1">
    <mergeCell ref="C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50DCC-77BE-6D4F-A376-CB713CE823DD}">
  <dimension ref="B1:P50"/>
  <sheetViews>
    <sheetView showGridLines="0" workbookViewId="0">
      <pane xSplit="2" ySplit="4" topLeftCell="C19" activePane="bottomRight" state="frozen"/>
      <selection pane="topRight" activeCell="C1" sqref="C1"/>
      <selection pane="bottomLeft" activeCell="A5" sqref="A5"/>
      <selection pane="bottomRight" activeCell="N38" sqref="N38:N43"/>
    </sheetView>
  </sheetViews>
  <sheetFormatPr baseColWidth="10" defaultRowHeight="16" x14ac:dyDescent="0.2"/>
  <cols>
    <col min="1" max="1" width="3.33203125" customWidth="1"/>
    <col min="2" max="2" width="71.6640625" bestFit="1" customWidth="1"/>
    <col min="3" max="3" width="13.1640625" bestFit="1" customWidth="1"/>
  </cols>
  <sheetData>
    <row r="1" spans="2:14" x14ac:dyDescent="0.2">
      <c r="C1" s="9" t="s">
        <v>5</v>
      </c>
      <c r="D1" s="9"/>
      <c r="E1" s="9"/>
      <c r="F1" s="9"/>
      <c r="G1" s="9"/>
      <c r="H1" s="9"/>
      <c r="I1" s="9"/>
      <c r="J1" s="9"/>
      <c r="K1" s="9"/>
      <c r="L1" s="9"/>
      <c r="M1" s="9"/>
      <c r="N1" s="7"/>
    </row>
    <row r="2" spans="2:14" ht="68" x14ac:dyDescent="0.2">
      <c r="C2" s="10" t="s">
        <v>123</v>
      </c>
      <c r="D2" s="10" t="s">
        <v>124</v>
      </c>
      <c r="E2" s="10" t="s">
        <v>125</v>
      </c>
      <c r="F2" s="10" t="s">
        <v>126</v>
      </c>
      <c r="G2" s="10" t="s">
        <v>127</v>
      </c>
      <c r="H2" s="10" t="s">
        <v>136</v>
      </c>
      <c r="I2" s="10" t="s">
        <v>128</v>
      </c>
      <c r="J2" s="10" t="s">
        <v>129</v>
      </c>
      <c r="K2" s="10" t="s">
        <v>130</v>
      </c>
      <c r="L2" s="10" t="s">
        <v>131</v>
      </c>
      <c r="M2" s="10" t="s">
        <v>134</v>
      </c>
      <c r="N2" s="7"/>
    </row>
    <row r="3" spans="2:14" x14ac:dyDescent="0.2">
      <c r="C3" s="11">
        <v>0.15</v>
      </c>
      <c r="D3" s="11">
        <v>0.1</v>
      </c>
      <c r="E3" s="11">
        <v>0.1</v>
      </c>
      <c r="F3" s="11">
        <v>0.15</v>
      </c>
      <c r="G3" s="11">
        <v>0.05</v>
      </c>
      <c r="H3" s="11">
        <v>0.05</v>
      </c>
      <c r="I3" s="11">
        <v>0.05</v>
      </c>
      <c r="J3" s="11">
        <v>0.1</v>
      </c>
      <c r="K3" s="11">
        <v>0.15</v>
      </c>
      <c r="L3" s="11">
        <v>0.05</v>
      </c>
      <c r="M3" s="11">
        <v>1</v>
      </c>
      <c r="N3" s="13">
        <f>SUM(C3:L3)</f>
        <v>0.95000000000000018</v>
      </c>
    </row>
    <row r="4" spans="2:14" ht="34" x14ac:dyDescent="0.2">
      <c r="C4" s="11" t="str">
        <f>"1"&amp;_xlfn.UNICHAR(8594)&amp;"5 热度"&amp;_xlfn.UNICHAR(8593)</f>
        <v>1→5 热度↑</v>
      </c>
      <c r="D4" s="11" t="str">
        <f>"1"&amp;_xlfn.UNICHAR(8594)&amp;"5 契合度"&amp;_xlfn.UNICHAR(8593)</f>
        <v>1→5 契合度↑</v>
      </c>
      <c r="E4" s="11" t="str">
        <f>"1"&amp;_xlfn.UNICHAR(8594)&amp;"5 争议度"&amp;_xlfn.UNICHAR(8595)</f>
        <v>1→5 争议度↓</v>
      </c>
      <c r="F4" s="11" t="str">
        <f>"1"&amp;_xlfn.UNICHAR(8594)&amp;"5 对抗性"&amp;_xlfn.UNICHAR(8593)</f>
        <v>1→5 对抗性↑</v>
      </c>
      <c r="G4" s="11" t="str">
        <f>"1"&amp;_xlfn.UNICHAR(8594)&amp;"5 周期"&amp;_xlfn.UNICHAR(8593)</f>
        <v>1→5 周期↑</v>
      </c>
      <c r="H4" s="15" t="str">
        <f>"1"&amp;_xlfn.UNICHAR(8594)&amp;"5 渊源"&amp;_xlfn.UNICHAR(8593)</f>
        <v>1→5 渊源↑</v>
      </c>
      <c r="I4" s="11" t="str">
        <f>"1"&amp;_xlfn.UNICHAR(8594)&amp;"5 可标准化"&amp;_xlfn.UNICHAR(8593)</f>
        <v>1→5 可标准化↑</v>
      </c>
      <c r="J4" s="11" t="str">
        <f>"1"&amp;_xlfn.UNICHAR(8594)&amp;"5 流动性"&amp;_xlfn.UNICHAR(8593)</f>
        <v>1→5 流动性↑</v>
      </c>
      <c r="K4" s="11" t="str">
        <f>"1"&amp;_xlfn.UNICHAR(8594)&amp;"5 波动性"&amp;_xlfn.UNICHAR(8593)</f>
        <v>1→5 波动性↑</v>
      </c>
      <c r="L4" s="11" t="str">
        <f>"1"&amp;_xlfn.UNICHAR(8594)&amp;"5 容易程度"&amp;_xlfn.UNICHAR(8593)</f>
        <v>1→5 容易程度↑</v>
      </c>
      <c r="M4" s="15" t="s">
        <v>135</v>
      </c>
      <c r="N4" s="13" t="s">
        <v>132</v>
      </c>
    </row>
    <row r="5" spans="2:14" ht="22" x14ac:dyDescent="0.3">
      <c r="B5" s="5" t="s">
        <v>45</v>
      </c>
    </row>
    <row r="7" spans="2:14" x14ac:dyDescent="0.2">
      <c r="B7" s="1" t="s">
        <v>86</v>
      </c>
      <c r="C7" s="12">
        <v>4</v>
      </c>
      <c r="D7" s="12">
        <v>5</v>
      </c>
      <c r="E7" s="12">
        <v>5</v>
      </c>
      <c r="F7" s="12">
        <v>4</v>
      </c>
      <c r="G7" s="12">
        <v>4</v>
      </c>
      <c r="H7" s="12">
        <v>4</v>
      </c>
      <c r="I7" s="12">
        <v>5</v>
      </c>
      <c r="J7" s="12">
        <v>4</v>
      </c>
      <c r="K7" s="12">
        <v>4</v>
      </c>
      <c r="L7" s="12">
        <v>5</v>
      </c>
      <c r="M7" s="12">
        <v>1</v>
      </c>
      <c r="N7" s="14" cm="1">
        <f t="array" ref="N7">SUMPRODUCT(C$3:L$3,C7:L7*M7)</f>
        <v>4.1000000000000005</v>
      </c>
    </row>
    <row r="8" spans="2:14" x14ac:dyDescent="0.2">
      <c r="B8" s="1" t="s">
        <v>120</v>
      </c>
      <c r="N8" s="16" t="b">
        <v>0</v>
      </c>
    </row>
    <row r="9" spans="2:14" x14ac:dyDescent="0.2">
      <c r="B9" s="1" t="s">
        <v>41</v>
      </c>
      <c r="N9" s="16" t="b">
        <v>0</v>
      </c>
    </row>
    <row r="10" spans="2:14" x14ac:dyDescent="0.2">
      <c r="B10" s="1" t="s">
        <v>7</v>
      </c>
      <c r="N10" s="16" t="b">
        <v>0</v>
      </c>
    </row>
    <row r="11" spans="2:14" x14ac:dyDescent="0.2">
      <c r="B11" t="s">
        <v>87</v>
      </c>
      <c r="N11" s="16" t="b">
        <v>0</v>
      </c>
    </row>
    <row r="12" spans="2:14" ht="19" x14ac:dyDescent="0.2">
      <c r="B12" t="s">
        <v>88</v>
      </c>
      <c r="C12" s="3"/>
      <c r="N12" s="16" t="b">
        <v>0</v>
      </c>
    </row>
    <row r="13" spans="2:14" x14ac:dyDescent="0.2">
      <c r="B13" t="s">
        <v>89</v>
      </c>
      <c r="N13" s="16" t="b">
        <v>0</v>
      </c>
    </row>
    <row r="14" spans="2:14" x14ac:dyDescent="0.2">
      <c r="B14" t="s">
        <v>90</v>
      </c>
    </row>
    <row r="16" spans="2:14" x14ac:dyDescent="0.2">
      <c r="B16" s="1" t="s">
        <v>91</v>
      </c>
      <c r="C16" s="12">
        <v>4</v>
      </c>
      <c r="D16" s="12">
        <v>5</v>
      </c>
      <c r="E16" s="12">
        <v>5</v>
      </c>
      <c r="F16" s="12">
        <v>4</v>
      </c>
      <c r="G16" s="12">
        <v>4</v>
      </c>
      <c r="H16" s="12">
        <v>4</v>
      </c>
      <c r="I16" s="12">
        <v>5</v>
      </c>
      <c r="J16" s="12">
        <v>4</v>
      </c>
      <c r="K16" s="12">
        <v>4</v>
      </c>
      <c r="L16" s="12">
        <v>5</v>
      </c>
      <c r="M16" s="12">
        <v>1</v>
      </c>
      <c r="N16" s="14" cm="1">
        <f t="array" ref="N16">SUMPRODUCT(C$3:L$3,C16:L16*M16)</f>
        <v>4.1000000000000005</v>
      </c>
    </row>
    <row r="17" spans="2:14" x14ac:dyDescent="0.2">
      <c r="B17" s="1" t="s">
        <v>120</v>
      </c>
      <c r="N17" s="16" t="b">
        <v>0</v>
      </c>
    </row>
    <row r="18" spans="2:14" x14ac:dyDescent="0.2">
      <c r="B18" s="1" t="s">
        <v>70</v>
      </c>
      <c r="N18" s="16" t="b">
        <v>0</v>
      </c>
    </row>
    <row r="19" spans="2:14" x14ac:dyDescent="0.2">
      <c r="B19" s="1" t="s">
        <v>7</v>
      </c>
      <c r="N19" s="16" t="b">
        <v>0</v>
      </c>
    </row>
    <row r="20" spans="2:14" x14ac:dyDescent="0.2">
      <c r="B20" t="s">
        <v>92</v>
      </c>
      <c r="N20" s="16" t="b">
        <v>0</v>
      </c>
    </row>
    <row r="21" spans="2:14" x14ac:dyDescent="0.2">
      <c r="B21" t="s">
        <v>93</v>
      </c>
      <c r="N21" s="16" t="b">
        <v>0</v>
      </c>
    </row>
    <row r="22" spans="2:14" x14ac:dyDescent="0.2">
      <c r="B22" t="s">
        <v>28</v>
      </c>
      <c r="N22" s="16" t="b">
        <v>0</v>
      </c>
    </row>
    <row r="23" spans="2:14" x14ac:dyDescent="0.2">
      <c r="B23" t="s">
        <v>94</v>
      </c>
    </row>
    <row r="24" spans="2:14" x14ac:dyDescent="0.2">
      <c r="B24" t="s">
        <v>90</v>
      </c>
    </row>
    <row r="27" spans="2:14" ht="22" x14ac:dyDescent="0.3">
      <c r="B27" s="5" t="s">
        <v>44</v>
      </c>
    </row>
    <row r="29" spans="2:14" x14ac:dyDescent="0.2">
      <c r="B29" s="1" t="s">
        <v>95</v>
      </c>
      <c r="C29" s="12">
        <v>5</v>
      </c>
      <c r="D29" s="12">
        <v>5</v>
      </c>
      <c r="E29" s="12">
        <v>5</v>
      </c>
      <c r="F29" s="12">
        <v>4</v>
      </c>
      <c r="G29" s="12">
        <v>4</v>
      </c>
      <c r="H29" s="12">
        <v>5</v>
      </c>
      <c r="I29" s="12">
        <v>5</v>
      </c>
      <c r="J29" s="12">
        <v>5</v>
      </c>
      <c r="K29" s="12">
        <v>4</v>
      </c>
      <c r="L29" s="12">
        <v>5</v>
      </c>
      <c r="M29" s="12">
        <v>1</v>
      </c>
      <c r="N29" s="14" cm="1">
        <f t="array" ref="N29">SUMPRODUCT(C$3:L$3,C29:L29*M29)</f>
        <v>4.4000000000000004</v>
      </c>
    </row>
    <row r="30" spans="2:14" x14ac:dyDescent="0.2">
      <c r="B30" s="1" t="s">
        <v>122</v>
      </c>
      <c r="N30" s="16" t="b">
        <v>0</v>
      </c>
    </row>
    <row r="31" spans="2:14" x14ac:dyDescent="0.2">
      <c r="B31" s="1" t="s">
        <v>41</v>
      </c>
      <c r="N31" s="16" t="b">
        <v>0</v>
      </c>
    </row>
    <row r="32" spans="2:14" x14ac:dyDescent="0.2">
      <c r="B32" s="1" t="s">
        <v>98</v>
      </c>
      <c r="N32" s="16" t="b">
        <v>0</v>
      </c>
    </row>
    <row r="33" spans="2:16" x14ac:dyDescent="0.2">
      <c r="B33" s="2" t="s">
        <v>116</v>
      </c>
      <c r="N33" s="16" t="b">
        <v>0</v>
      </c>
    </row>
    <row r="34" spans="2:16" x14ac:dyDescent="0.2">
      <c r="B34" t="s">
        <v>96</v>
      </c>
      <c r="N34" s="16" t="b">
        <v>0</v>
      </c>
    </row>
    <row r="35" spans="2:16" x14ac:dyDescent="0.2">
      <c r="B35" t="s">
        <v>97</v>
      </c>
      <c r="N35" s="16" t="b">
        <v>0</v>
      </c>
    </row>
    <row r="37" spans="2:16" x14ac:dyDescent="0.2">
      <c r="B37" s="1" t="s">
        <v>99</v>
      </c>
      <c r="C37" s="12">
        <v>4</v>
      </c>
      <c r="D37" s="12">
        <v>4</v>
      </c>
      <c r="E37" s="12">
        <v>5</v>
      </c>
      <c r="F37" s="12">
        <v>3</v>
      </c>
      <c r="G37" s="12">
        <v>4</v>
      </c>
      <c r="H37" s="12">
        <v>4</v>
      </c>
      <c r="I37" s="12">
        <v>5</v>
      </c>
      <c r="J37" s="12">
        <v>4</v>
      </c>
      <c r="K37" s="12">
        <v>3</v>
      </c>
      <c r="L37" s="12">
        <v>5</v>
      </c>
      <c r="M37" s="12">
        <v>1</v>
      </c>
      <c r="N37" s="14" cm="1">
        <f t="array" ref="N37">SUMPRODUCT(C$3:L$3,C37:L37*M37)</f>
        <v>3.7</v>
      </c>
    </row>
    <row r="38" spans="2:16" x14ac:dyDescent="0.2">
      <c r="B38" s="1" t="s">
        <v>122</v>
      </c>
      <c r="N38" s="16" t="b">
        <v>0</v>
      </c>
    </row>
    <row r="39" spans="2:16" x14ac:dyDescent="0.2">
      <c r="B39" s="1" t="s">
        <v>102</v>
      </c>
      <c r="N39" s="16" t="b">
        <v>0</v>
      </c>
    </row>
    <row r="40" spans="2:16" x14ac:dyDescent="0.2">
      <c r="B40" s="1" t="s">
        <v>7</v>
      </c>
      <c r="N40" s="16" t="b">
        <v>0</v>
      </c>
    </row>
    <row r="41" spans="2:16" x14ac:dyDescent="0.2">
      <c r="B41" t="s">
        <v>100</v>
      </c>
      <c r="N41" s="16" t="b">
        <v>0</v>
      </c>
    </row>
    <row r="42" spans="2:16" x14ac:dyDescent="0.2">
      <c r="B42" s="2" t="s">
        <v>117</v>
      </c>
      <c r="N42" s="16" t="b">
        <v>0</v>
      </c>
    </row>
    <row r="43" spans="2:16" x14ac:dyDescent="0.2">
      <c r="B43" t="s">
        <v>101</v>
      </c>
      <c r="N43" s="16" t="b">
        <v>0</v>
      </c>
    </row>
    <row r="44" spans="2:16" x14ac:dyDescent="0.2">
      <c r="B44" t="s">
        <v>90</v>
      </c>
    </row>
    <row r="47" spans="2:16" x14ac:dyDescent="0.2">
      <c r="O47" t="s">
        <v>163</v>
      </c>
      <c r="P47" t="s">
        <v>167</v>
      </c>
    </row>
    <row r="48" spans="2:16" x14ac:dyDescent="0.2">
      <c r="O48" t="s">
        <v>164</v>
      </c>
      <c r="P48" t="s">
        <v>168</v>
      </c>
    </row>
    <row r="49" spans="15:16" x14ac:dyDescent="0.2">
      <c r="O49" t="s">
        <v>165</v>
      </c>
      <c r="P49" t="s">
        <v>169</v>
      </c>
    </row>
    <row r="50" spans="15:16" x14ac:dyDescent="0.2">
      <c r="O50" t="s">
        <v>166</v>
      </c>
      <c r="P50" t="s">
        <v>170</v>
      </c>
    </row>
  </sheetData>
  <mergeCells count="1">
    <mergeCell ref="C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B6C9C-1087-1D4D-8CDF-20F1E5ADC060}">
  <dimension ref="A1:P61"/>
  <sheetViews>
    <sheetView showGridLines="0" workbookViewId="0">
      <pane xSplit="2" ySplit="4" topLeftCell="C35" activePane="bottomRight" state="frozen"/>
      <selection pane="topRight" activeCell="C1" sqref="C1"/>
      <selection pane="bottomLeft" activeCell="A5" sqref="A5"/>
      <selection pane="bottomRight" activeCell="M59" sqref="M59"/>
    </sheetView>
  </sheetViews>
  <sheetFormatPr baseColWidth="10" defaultRowHeight="16" x14ac:dyDescent="0.2"/>
  <cols>
    <col min="1" max="1" width="3.33203125" customWidth="1"/>
    <col min="2" max="2" width="75.1640625" bestFit="1" customWidth="1"/>
    <col min="3" max="3" width="13.1640625" bestFit="1" customWidth="1"/>
  </cols>
  <sheetData>
    <row r="1" spans="2:14" x14ac:dyDescent="0.2">
      <c r="C1" s="9" t="s">
        <v>5</v>
      </c>
      <c r="D1" s="9"/>
      <c r="E1" s="9"/>
      <c r="F1" s="9"/>
      <c r="G1" s="9"/>
      <c r="H1" s="9"/>
      <c r="I1" s="9"/>
      <c r="J1" s="9"/>
      <c r="K1" s="9"/>
      <c r="L1" s="9"/>
      <c r="M1" s="9"/>
      <c r="N1" s="7"/>
    </row>
    <row r="2" spans="2:14" ht="68" x14ac:dyDescent="0.2">
      <c r="C2" s="10" t="s">
        <v>123</v>
      </c>
      <c r="D2" s="10" t="s">
        <v>124</v>
      </c>
      <c r="E2" s="10" t="s">
        <v>125</v>
      </c>
      <c r="F2" s="10" t="s">
        <v>126</v>
      </c>
      <c r="G2" s="10" t="s">
        <v>127</v>
      </c>
      <c r="H2" s="10" t="s">
        <v>136</v>
      </c>
      <c r="I2" s="10" t="s">
        <v>128</v>
      </c>
      <c r="J2" s="10" t="s">
        <v>129</v>
      </c>
      <c r="K2" s="10" t="s">
        <v>130</v>
      </c>
      <c r="L2" s="10" t="s">
        <v>131</v>
      </c>
      <c r="M2" s="10" t="s">
        <v>134</v>
      </c>
      <c r="N2" s="7"/>
    </row>
    <row r="3" spans="2:14" x14ac:dyDescent="0.2">
      <c r="C3" s="11">
        <v>0.15</v>
      </c>
      <c r="D3" s="11">
        <v>0.1</v>
      </c>
      <c r="E3" s="11">
        <v>0.1</v>
      </c>
      <c r="F3" s="11">
        <v>0.15</v>
      </c>
      <c r="G3" s="11">
        <v>0.05</v>
      </c>
      <c r="H3" s="11">
        <v>0.05</v>
      </c>
      <c r="I3" s="11">
        <v>0.05</v>
      </c>
      <c r="J3" s="11">
        <v>0.1</v>
      </c>
      <c r="K3" s="11">
        <v>0.15</v>
      </c>
      <c r="L3" s="11">
        <v>0.05</v>
      </c>
      <c r="M3" s="11">
        <v>1</v>
      </c>
      <c r="N3" s="13">
        <f>SUM(C3:L3)</f>
        <v>0.95000000000000018</v>
      </c>
    </row>
    <row r="4" spans="2:14" ht="34" x14ac:dyDescent="0.2">
      <c r="C4" s="11" t="str">
        <f>"1"&amp;_xlfn.UNICHAR(8594)&amp;"5 热度"&amp;_xlfn.UNICHAR(8593)</f>
        <v>1→5 热度↑</v>
      </c>
      <c r="D4" s="11" t="str">
        <f>"1"&amp;_xlfn.UNICHAR(8594)&amp;"5 契合度"&amp;_xlfn.UNICHAR(8593)</f>
        <v>1→5 契合度↑</v>
      </c>
      <c r="E4" s="11" t="str">
        <f>"1"&amp;_xlfn.UNICHAR(8594)&amp;"5 争议度"&amp;_xlfn.UNICHAR(8595)</f>
        <v>1→5 争议度↓</v>
      </c>
      <c r="F4" s="11" t="str">
        <f>"1"&amp;_xlfn.UNICHAR(8594)&amp;"5 对抗性"&amp;_xlfn.UNICHAR(8593)</f>
        <v>1→5 对抗性↑</v>
      </c>
      <c r="G4" s="11" t="str">
        <f>"1"&amp;_xlfn.UNICHAR(8594)&amp;"5 周期"&amp;_xlfn.UNICHAR(8593)</f>
        <v>1→5 周期↑</v>
      </c>
      <c r="H4" s="15" t="str">
        <f>"1"&amp;_xlfn.UNICHAR(8594)&amp;"5 渊源"&amp;_xlfn.UNICHAR(8593)</f>
        <v>1→5 渊源↑</v>
      </c>
      <c r="I4" s="11" t="str">
        <f>"1"&amp;_xlfn.UNICHAR(8594)&amp;"5 可标准化"&amp;_xlfn.UNICHAR(8593)</f>
        <v>1→5 可标准化↑</v>
      </c>
      <c r="J4" s="11" t="str">
        <f>"1"&amp;_xlfn.UNICHAR(8594)&amp;"5 流动性"&amp;_xlfn.UNICHAR(8593)</f>
        <v>1→5 流动性↑</v>
      </c>
      <c r="K4" s="11" t="str">
        <f>"1"&amp;_xlfn.UNICHAR(8594)&amp;"5 波动性"&amp;_xlfn.UNICHAR(8593)</f>
        <v>1→5 波动性↑</v>
      </c>
      <c r="L4" s="11" t="str">
        <f>"1"&amp;_xlfn.UNICHAR(8594)&amp;"5 容易程度"&amp;_xlfn.UNICHAR(8593)</f>
        <v>1→5 容易程度↑</v>
      </c>
      <c r="M4" s="15" t="s">
        <v>135</v>
      </c>
      <c r="N4" s="13" t="s">
        <v>132</v>
      </c>
    </row>
    <row r="5" spans="2:14" ht="22" x14ac:dyDescent="0.3">
      <c r="B5" s="5" t="s">
        <v>45</v>
      </c>
    </row>
    <row r="7" spans="2:14" x14ac:dyDescent="0.2">
      <c r="B7" s="1" t="s">
        <v>103</v>
      </c>
      <c r="C7" s="12">
        <v>4</v>
      </c>
      <c r="D7" s="12">
        <v>5</v>
      </c>
      <c r="E7" s="12">
        <v>5</v>
      </c>
      <c r="F7" s="12">
        <v>4</v>
      </c>
      <c r="G7" s="12">
        <v>4</v>
      </c>
      <c r="H7" s="12">
        <v>4</v>
      </c>
      <c r="I7" s="12">
        <v>5</v>
      </c>
      <c r="J7" s="12">
        <v>4</v>
      </c>
      <c r="K7" s="12">
        <v>4</v>
      </c>
      <c r="L7" s="12">
        <v>5</v>
      </c>
      <c r="M7" s="12">
        <v>1</v>
      </c>
      <c r="N7" s="14" cm="1">
        <f t="array" ref="N7">SUMPRODUCT(C$3:L$3,C7:L7*M7)</f>
        <v>4.1000000000000005</v>
      </c>
    </row>
    <row r="8" spans="2:14" x14ac:dyDescent="0.2">
      <c r="B8" s="1" t="s">
        <v>120</v>
      </c>
      <c r="N8" s="16" t="b">
        <v>0</v>
      </c>
    </row>
    <row r="9" spans="2:14" x14ac:dyDescent="0.2">
      <c r="B9" s="1" t="s">
        <v>41</v>
      </c>
      <c r="N9" s="16" t="b">
        <v>0</v>
      </c>
    </row>
    <row r="10" spans="2:14" x14ac:dyDescent="0.2">
      <c r="B10" s="1" t="s">
        <v>7</v>
      </c>
      <c r="N10" s="16" t="b">
        <v>0</v>
      </c>
    </row>
    <row r="11" spans="2:14" x14ac:dyDescent="0.2">
      <c r="B11" t="s">
        <v>104</v>
      </c>
      <c r="N11" s="16" t="b">
        <v>0</v>
      </c>
    </row>
    <row r="12" spans="2:14" ht="19" x14ac:dyDescent="0.2">
      <c r="B12" t="s">
        <v>88</v>
      </c>
      <c r="C12" s="3"/>
      <c r="N12" s="16" t="b">
        <v>0</v>
      </c>
    </row>
    <row r="13" spans="2:14" x14ac:dyDescent="0.2">
      <c r="B13" t="s">
        <v>89</v>
      </c>
      <c r="N13" s="16" t="b">
        <v>0</v>
      </c>
    </row>
    <row r="14" spans="2:14" ht="19" x14ac:dyDescent="0.2">
      <c r="B14" t="s">
        <v>105</v>
      </c>
      <c r="C14" s="3"/>
    </row>
    <row r="15" spans="2:14" ht="19" x14ac:dyDescent="0.2">
      <c r="C15" s="3"/>
    </row>
    <row r="16" spans="2:14" x14ac:dyDescent="0.2">
      <c r="B16" s="1" t="s">
        <v>106</v>
      </c>
      <c r="C16" s="12">
        <v>5</v>
      </c>
      <c r="D16" s="12">
        <v>5</v>
      </c>
      <c r="E16" s="12">
        <v>5</v>
      </c>
      <c r="F16" s="12">
        <v>4</v>
      </c>
      <c r="G16" s="12">
        <v>4</v>
      </c>
      <c r="H16" s="12">
        <v>4</v>
      </c>
      <c r="I16" s="12">
        <v>5</v>
      </c>
      <c r="J16" s="12">
        <v>5</v>
      </c>
      <c r="K16" s="12">
        <v>5</v>
      </c>
      <c r="L16" s="12">
        <v>5</v>
      </c>
      <c r="M16" s="12">
        <v>1</v>
      </c>
      <c r="N16" s="14" cm="1">
        <f t="array" ref="N16">SUMPRODUCT(C$3:L$3,C16:L16*M16)</f>
        <v>4.5</v>
      </c>
    </row>
    <row r="17" spans="2:14" x14ac:dyDescent="0.2">
      <c r="B17" s="1" t="s">
        <v>121</v>
      </c>
      <c r="N17" s="16" t="b">
        <v>0</v>
      </c>
    </row>
    <row r="18" spans="2:14" ht="19" x14ac:dyDescent="0.2">
      <c r="B18" s="1" t="s">
        <v>41</v>
      </c>
      <c r="C18" s="3"/>
      <c r="N18" s="16" t="b">
        <v>0</v>
      </c>
    </row>
    <row r="19" spans="2:14" ht="19" x14ac:dyDescent="0.2">
      <c r="B19" s="1" t="s">
        <v>7</v>
      </c>
      <c r="C19" s="3"/>
      <c r="N19" s="16" t="b">
        <v>0</v>
      </c>
    </row>
    <row r="20" spans="2:14" ht="19" x14ac:dyDescent="0.2">
      <c r="B20" t="s">
        <v>107</v>
      </c>
      <c r="C20" s="3"/>
      <c r="N20" s="16" t="b">
        <v>0</v>
      </c>
    </row>
    <row r="21" spans="2:14" ht="19" x14ac:dyDescent="0.2">
      <c r="B21" t="s">
        <v>93</v>
      </c>
      <c r="C21" s="3"/>
      <c r="N21" s="16" t="b">
        <v>0</v>
      </c>
    </row>
    <row r="22" spans="2:14" x14ac:dyDescent="0.2">
      <c r="B22" t="s">
        <v>28</v>
      </c>
      <c r="N22" s="16" t="b">
        <v>0</v>
      </c>
    </row>
    <row r="23" spans="2:14" ht="19" x14ac:dyDescent="0.2">
      <c r="B23" t="s">
        <v>108</v>
      </c>
      <c r="C23" s="3"/>
    </row>
    <row r="24" spans="2:14" ht="19" x14ac:dyDescent="0.2">
      <c r="B24" t="s">
        <v>90</v>
      </c>
      <c r="C24" s="3"/>
    </row>
    <row r="25" spans="2:14" ht="19" x14ac:dyDescent="0.2">
      <c r="C25" s="3"/>
    </row>
    <row r="26" spans="2:14" x14ac:dyDescent="0.2">
      <c r="B26" s="6" t="s">
        <v>159</v>
      </c>
      <c r="C26" s="12">
        <v>5</v>
      </c>
      <c r="D26" s="12">
        <v>5</v>
      </c>
      <c r="E26" s="12">
        <v>5</v>
      </c>
      <c r="F26" s="12">
        <v>5</v>
      </c>
      <c r="G26" s="12">
        <v>4</v>
      </c>
      <c r="H26" s="12">
        <v>4</v>
      </c>
      <c r="I26" s="12">
        <v>5</v>
      </c>
      <c r="J26" s="12">
        <v>5</v>
      </c>
      <c r="K26" s="12">
        <v>5</v>
      </c>
      <c r="L26" s="12">
        <v>5</v>
      </c>
      <c r="M26" s="12">
        <v>1</v>
      </c>
      <c r="N26" s="14" cm="1">
        <f t="array" ref="N26">SUMPRODUCT(C$3:L$3,C26:L26*M26)</f>
        <v>4.6500000000000004</v>
      </c>
    </row>
    <row r="27" spans="2:14" x14ac:dyDescent="0.2">
      <c r="B27" s="1" t="s">
        <v>160</v>
      </c>
      <c r="N27" s="16" t="b">
        <v>0</v>
      </c>
    </row>
    <row r="28" spans="2:14" ht="19" x14ac:dyDescent="0.2">
      <c r="B28" s="1" t="s">
        <v>161</v>
      </c>
      <c r="C28" s="3"/>
      <c r="N28" s="16" t="b">
        <v>0</v>
      </c>
    </row>
    <row r="29" spans="2:14" ht="19" x14ac:dyDescent="0.2">
      <c r="B29" s="1" t="s">
        <v>7</v>
      </c>
      <c r="C29" s="3"/>
      <c r="N29" s="16" t="b">
        <v>0</v>
      </c>
    </row>
    <row r="30" spans="2:14" ht="19" x14ac:dyDescent="0.2">
      <c r="B30" t="s">
        <v>155</v>
      </c>
      <c r="C30" s="3"/>
      <c r="N30" s="16" t="b">
        <v>0</v>
      </c>
    </row>
    <row r="31" spans="2:14" ht="19" x14ac:dyDescent="0.2">
      <c r="B31" t="s">
        <v>138</v>
      </c>
      <c r="C31" s="3"/>
      <c r="N31" s="16" t="b">
        <v>0</v>
      </c>
    </row>
    <row r="32" spans="2:14" ht="19" x14ac:dyDescent="0.2">
      <c r="B32" t="s">
        <v>156</v>
      </c>
      <c r="C32" s="3"/>
      <c r="N32" s="16" t="b">
        <v>0</v>
      </c>
    </row>
    <row r="33" spans="2:14" ht="19" x14ac:dyDescent="0.2">
      <c r="B33" t="s">
        <v>140</v>
      </c>
      <c r="C33" s="3"/>
    </row>
    <row r="34" spans="2:14" ht="19" x14ac:dyDescent="0.2">
      <c r="B34" t="s">
        <v>157</v>
      </c>
      <c r="C34" s="3"/>
    </row>
    <row r="35" spans="2:14" ht="19" x14ac:dyDescent="0.2">
      <c r="B35" t="s">
        <v>158</v>
      </c>
      <c r="C35" s="3"/>
    </row>
    <row r="36" spans="2:14" ht="19" x14ac:dyDescent="0.2">
      <c r="B36" t="s">
        <v>162</v>
      </c>
      <c r="C36" s="3"/>
    </row>
    <row r="37" spans="2:14" ht="19" x14ac:dyDescent="0.2">
      <c r="C37" s="3"/>
    </row>
    <row r="38" spans="2:14" ht="22" x14ac:dyDescent="0.3">
      <c r="B38" s="5" t="s">
        <v>44</v>
      </c>
    </row>
    <row r="40" spans="2:14" x14ac:dyDescent="0.2">
      <c r="B40" s="1" t="s">
        <v>109</v>
      </c>
      <c r="C40" s="12">
        <v>5</v>
      </c>
      <c r="D40" s="12">
        <v>5</v>
      </c>
      <c r="E40" s="12">
        <v>5</v>
      </c>
      <c r="F40" s="12">
        <v>4</v>
      </c>
      <c r="G40" s="12">
        <v>4</v>
      </c>
      <c r="H40" s="12">
        <v>5</v>
      </c>
      <c r="I40" s="12">
        <v>5</v>
      </c>
      <c r="J40" s="12">
        <v>5</v>
      </c>
      <c r="K40" s="12">
        <v>4</v>
      </c>
      <c r="L40" s="12">
        <v>5</v>
      </c>
      <c r="M40" s="12">
        <v>1</v>
      </c>
      <c r="N40" s="14" cm="1">
        <f t="array" ref="N40">SUMPRODUCT(C$3:L$3,C40:L40*M40)</f>
        <v>4.4000000000000004</v>
      </c>
    </row>
    <row r="41" spans="2:14" x14ac:dyDescent="0.2">
      <c r="B41" s="1" t="s">
        <v>122</v>
      </c>
      <c r="N41" s="16" t="b">
        <v>0</v>
      </c>
    </row>
    <row r="42" spans="2:14" x14ac:dyDescent="0.2">
      <c r="B42" s="1" t="s">
        <v>112</v>
      </c>
      <c r="N42" s="16" t="b">
        <v>0</v>
      </c>
    </row>
    <row r="43" spans="2:14" x14ac:dyDescent="0.2">
      <c r="B43" s="1" t="s">
        <v>7</v>
      </c>
      <c r="N43" s="16" t="b">
        <v>0</v>
      </c>
    </row>
    <row r="44" spans="2:14" x14ac:dyDescent="0.2">
      <c r="B44" t="s">
        <v>110</v>
      </c>
      <c r="N44" s="16" t="b">
        <v>0</v>
      </c>
    </row>
    <row r="45" spans="2:14" x14ac:dyDescent="0.2">
      <c r="B45" t="s">
        <v>118</v>
      </c>
      <c r="N45" s="16" t="b">
        <v>0</v>
      </c>
    </row>
    <row r="46" spans="2:14" x14ac:dyDescent="0.2">
      <c r="B46" t="s">
        <v>111</v>
      </c>
      <c r="N46" s="16" t="b">
        <v>0</v>
      </c>
    </row>
    <row r="47" spans="2:14" x14ac:dyDescent="0.2">
      <c r="B47" t="s">
        <v>90</v>
      </c>
    </row>
    <row r="49" spans="2:16" x14ac:dyDescent="0.2">
      <c r="B49" s="1" t="s">
        <v>113</v>
      </c>
      <c r="C49" s="12">
        <v>4</v>
      </c>
      <c r="D49" s="12">
        <v>5</v>
      </c>
      <c r="E49" s="12">
        <v>5</v>
      </c>
      <c r="F49" s="12">
        <v>3</v>
      </c>
      <c r="G49" s="12">
        <v>4</v>
      </c>
      <c r="H49" s="12">
        <v>4</v>
      </c>
      <c r="I49" s="12">
        <v>5</v>
      </c>
      <c r="J49" s="12">
        <v>4</v>
      </c>
      <c r="K49" s="12">
        <v>3</v>
      </c>
      <c r="L49" s="12">
        <v>5</v>
      </c>
      <c r="M49" s="12">
        <v>1</v>
      </c>
      <c r="N49" s="14" cm="1">
        <f t="array" ref="N49">SUMPRODUCT(C$3:L$3,C49:L49*M49)</f>
        <v>3.8</v>
      </c>
    </row>
    <row r="50" spans="2:16" x14ac:dyDescent="0.2">
      <c r="B50" s="1" t="s">
        <v>122</v>
      </c>
      <c r="N50" s="16" t="b">
        <v>0</v>
      </c>
    </row>
    <row r="51" spans="2:16" x14ac:dyDescent="0.2">
      <c r="B51" s="1" t="s">
        <v>119</v>
      </c>
      <c r="N51" s="16" t="b">
        <v>0</v>
      </c>
    </row>
    <row r="52" spans="2:16" x14ac:dyDescent="0.2">
      <c r="B52" s="1" t="s">
        <v>7</v>
      </c>
      <c r="N52" s="16" t="b">
        <v>0</v>
      </c>
    </row>
    <row r="53" spans="2:16" x14ac:dyDescent="0.2">
      <c r="B53" t="s">
        <v>114</v>
      </c>
      <c r="N53" s="16" t="b">
        <v>0</v>
      </c>
    </row>
    <row r="54" spans="2:16" x14ac:dyDescent="0.2">
      <c r="B54" t="s">
        <v>115</v>
      </c>
      <c r="N54" s="16" t="b">
        <v>0</v>
      </c>
    </row>
    <row r="55" spans="2:16" x14ac:dyDescent="0.2">
      <c r="B55" t="s">
        <v>90</v>
      </c>
      <c r="N55" s="16" t="b">
        <v>0</v>
      </c>
    </row>
    <row r="58" spans="2:16" x14ac:dyDescent="0.2">
      <c r="O58" t="s">
        <v>163</v>
      </c>
      <c r="P58" t="s">
        <v>167</v>
      </c>
    </row>
    <row r="59" spans="2:16" x14ac:dyDescent="0.2">
      <c r="O59" t="s">
        <v>164</v>
      </c>
      <c r="P59" t="s">
        <v>168</v>
      </c>
    </row>
    <row r="60" spans="2:16" x14ac:dyDescent="0.2">
      <c r="O60" t="s">
        <v>165</v>
      </c>
      <c r="P60" t="s">
        <v>169</v>
      </c>
    </row>
    <row r="61" spans="2:16" x14ac:dyDescent="0.2">
      <c r="O61" t="s">
        <v>166</v>
      </c>
      <c r="P61" t="s">
        <v>170</v>
      </c>
    </row>
  </sheetData>
  <mergeCells count="1">
    <mergeCell ref="C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全球</vt:lpstr>
      <vt:lpstr>中国</vt:lpstr>
      <vt:lpstr>日本</vt:lpstr>
      <vt:lpstr>韩国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He</dc:creator>
  <cp:lastModifiedBy>Aaron He</cp:lastModifiedBy>
  <dcterms:created xsi:type="dcterms:W3CDTF">2025-10-13T05:44:38Z</dcterms:created>
  <dcterms:modified xsi:type="dcterms:W3CDTF">2025-10-14T16:17:07Z</dcterms:modified>
</cp:coreProperties>
</file>